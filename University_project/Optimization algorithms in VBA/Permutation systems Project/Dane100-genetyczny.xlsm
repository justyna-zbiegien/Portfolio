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arek\Desktop\justysia\IO\"/>
    </mc:Choice>
  </mc:AlternateContent>
  <xr:revisionPtr revIDLastSave="0" documentId="13_ncr:1_{49F55F13-3D26-4647-83B6-E1D528160EC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254" i="1" l="1"/>
  <c r="AZ103" i="1" s="1"/>
  <c r="AZ100" i="1" l="1"/>
  <c r="AZ101" i="1"/>
  <c r="AZ97" i="1"/>
  <c r="AZ93" i="1"/>
  <c r="AZ89" i="1"/>
  <c r="AZ85" i="1"/>
  <c r="AZ81" i="1"/>
  <c r="AZ77" i="1"/>
  <c r="AZ73" i="1"/>
  <c r="AZ69" i="1"/>
  <c r="AZ65" i="1"/>
  <c r="AZ61" i="1"/>
  <c r="AZ57" i="1"/>
  <c r="AZ53" i="1"/>
  <c r="AZ49" i="1"/>
  <c r="AZ45" i="1"/>
  <c r="AZ41" i="1"/>
  <c r="AZ37" i="1"/>
  <c r="AZ33" i="1"/>
  <c r="AZ29" i="1"/>
  <c r="AZ25" i="1"/>
  <c r="AZ21" i="1"/>
  <c r="AZ17" i="1"/>
  <c r="AZ13" i="1"/>
  <c r="AZ9" i="1"/>
  <c r="AZ5" i="1"/>
  <c r="AZ250" i="1"/>
  <c r="AZ246" i="1"/>
  <c r="AZ242" i="1"/>
  <c r="AZ238" i="1"/>
  <c r="AZ234" i="1"/>
  <c r="AZ230" i="1"/>
  <c r="AZ226" i="1"/>
  <c r="AZ222" i="1"/>
  <c r="AZ218" i="1"/>
  <c r="AZ214" i="1"/>
  <c r="AZ210" i="1"/>
  <c r="AZ206" i="1"/>
  <c r="AZ202" i="1"/>
  <c r="AZ198" i="1"/>
  <c r="AZ194" i="1"/>
  <c r="AZ190" i="1"/>
  <c r="AZ186" i="1"/>
  <c r="AZ182" i="1"/>
  <c r="AZ178" i="1"/>
  <c r="AZ174" i="1"/>
  <c r="AZ170" i="1"/>
  <c r="AZ166" i="1"/>
  <c r="AZ162" i="1"/>
  <c r="AZ158" i="1"/>
  <c r="AZ154" i="1"/>
  <c r="AZ150" i="1"/>
  <c r="AZ146" i="1"/>
  <c r="AZ142" i="1"/>
  <c r="AZ138" i="1"/>
  <c r="AZ134" i="1"/>
  <c r="AZ130" i="1"/>
  <c r="AZ126" i="1"/>
  <c r="AZ122" i="1"/>
  <c r="AZ118" i="1"/>
  <c r="AZ114" i="1"/>
  <c r="AZ110" i="1"/>
  <c r="AZ106" i="1"/>
  <c r="AZ92" i="1"/>
  <c r="AZ84" i="1"/>
  <c r="AZ72" i="1"/>
  <c r="AZ64" i="1"/>
  <c r="AZ52" i="1"/>
  <c r="AZ48" i="1"/>
  <c r="AZ40" i="1"/>
  <c r="AZ36" i="1"/>
  <c r="AZ32" i="1"/>
  <c r="AZ28" i="1"/>
  <c r="AZ24" i="1"/>
  <c r="AZ20" i="1"/>
  <c r="AZ16" i="1"/>
  <c r="AZ12" i="1"/>
  <c r="AZ8" i="1"/>
  <c r="AZ4" i="1"/>
  <c r="AZ249" i="1"/>
  <c r="AZ245" i="1"/>
  <c r="AZ241" i="1"/>
  <c r="AZ237" i="1"/>
  <c r="AZ233" i="1"/>
  <c r="AZ229" i="1"/>
  <c r="AZ225" i="1"/>
  <c r="AZ221" i="1"/>
  <c r="AZ217" i="1"/>
  <c r="AZ213" i="1"/>
  <c r="AZ209" i="1"/>
  <c r="AZ205" i="1"/>
  <c r="AZ201" i="1"/>
  <c r="AZ197" i="1"/>
  <c r="AZ193" i="1"/>
  <c r="AZ189" i="1"/>
  <c r="AZ185" i="1"/>
  <c r="AZ181" i="1"/>
  <c r="AZ177" i="1"/>
  <c r="AZ173" i="1"/>
  <c r="AZ169" i="1"/>
  <c r="AZ165" i="1"/>
  <c r="AZ161" i="1"/>
  <c r="AZ157" i="1"/>
  <c r="AZ153" i="1"/>
  <c r="AZ149" i="1"/>
  <c r="AZ145" i="1"/>
  <c r="AZ141" i="1"/>
  <c r="AZ137" i="1"/>
  <c r="AZ133" i="1"/>
  <c r="AZ129" i="1"/>
  <c r="AZ125" i="1"/>
  <c r="AZ121" i="1"/>
  <c r="AZ117" i="1"/>
  <c r="AZ113" i="1"/>
  <c r="AZ109" i="1"/>
  <c r="AZ105" i="1"/>
  <c r="AZ96" i="1"/>
  <c r="AZ88" i="1"/>
  <c r="AZ80" i="1"/>
  <c r="AZ76" i="1"/>
  <c r="AZ68" i="1"/>
  <c r="AZ60" i="1"/>
  <c r="AZ56" i="1"/>
  <c r="AZ44" i="1"/>
  <c r="AZ95" i="1"/>
  <c r="AZ83" i="1"/>
  <c r="AZ71" i="1"/>
  <c r="AZ59" i="1"/>
  <c r="AZ47" i="1"/>
  <c r="AZ35" i="1"/>
  <c r="AZ23" i="1"/>
  <c r="AZ15" i="1"/>
  <c r="AZ11" i="1"/>
  <c r="AZ7" i="1"/>
  <c r="AZ252" i="1"/>
  <c r="AZ248" i="1"/>
  <c r="AZ244" i="1"/>
  <c r="AZ240" i="1"/>
  <c r="AZ236" i="1"/>
  <c r="AZ232" i="1"/>
  <c r="AZ228" i="1"/>
  <c r="AZ224" i="1"/>
  <c r="AZ220" i="1"/>
  <c r="AZ216" i="1"/>
  <c r="AZ212" i="1"/>
  <c r="AZ208" i="1"/>
  <c r="AZ204" i="1"/>
  <c r="AZ200" i="1"/>
  <c r="AZ196" i="1"/>
  <c r="AZ192" i="1"/>
  <c r="AZ188" i="1"/>
  <c r="AZ184" i="1"/>
  <c r="AZ180" i="1"/>
  <c r="AZ176" i="1"/>
  <c r="AZ172" i="1"/>
  <c r="AZ168" i="1"/>
  <c r="AZ164" i="1"/>
  <c r="AZ160" i="1"/>
  <c r="AZ156" i="1"/>
  <c r="AZ152" i="1"/>
  <c r="AZ148" i="1"/>
  <c r="AZ144" i="1"/>
  <c r="AZ140" i="1"/>
  <c r="AZ136" i="1"/>
  <c r="AZ132" i="1"/>
  <c r="AZ128" i="1"/>
  <c r="AZ124" i="1"/>
  <c r="AZ120" i="1"/>
  <c r="AZ116" i="1"/>
  <c r="AZ112" i="1"/>
  <c r="AZ108" i="1"/>
  <c r="AZ104" i="1"/>
  <c r="AZ99" i="1"/>
  <c r="AZ91" i="1"/>
  <c r="AZ87" i="1"/>
  <c r="AZ79" i="1"/>
  <c r="AZ75" i="1"/>
  <c r="AZ67" i="1"/>
  <c r="AZ63" i="1"/>
  <c r="AZ55" i="1"/>
  <c r="AZ51" i="1"/>
  <c r="AZ43" i="1"/>
  <c r="AZ39" i="1"/>
  <c r="AZ31" i="1"/>
  <c r="AZ27" i="1"/>
  <c r="AZ19" i="1"/>
  <c r="AZ102" i="1"/>
  <c r="AZ98" i="1"/>
  <c r="AZ94" i="1"/>
  <c r="AZ90" i="1"/>
  <c r="AZ86" i="1"/>
  <c r="AZ82" i="1"/>
  <c r="AZ78" i="1"/>
  <c r="AZ74" i="1"/>
  <c r="AZ70" i="1"/>
  <c r="AZ66" i="1"/>
  <c r="AZ62" i="1"/>
  <c r="AZ58" i="1"/>
  <c r="AZ54" i="1"/>
  <c r="AZ50" i="1"/>
  <c r="AZ46" i="1"/>
  <c r="AZ42" i="1"/>
  <c r="AZ38" i="1"/>
  <c r="AZ34" i="1"/>
  <c r="AZ30" i="1"/>
  <c r="AZ26" i="1"/>
  <c r="AZ22" i="1"/>
  <c r="AZ18" i="1"/>
  <c r="AZ14" i="1"/>
  <c r="AZ10" i="1"/>
  <c r="AZ6" i="1"/>
  <c r="AZ251" i="1"/>
  <c r="AZ247" i="1"/>
  <c r="AZ243" i="1"/>
  <c r="AZ239" i="1"/>
  <c r="AZ235" i="1"/>
  <c r="AZ231" i="1"/>
  <c r="AZ227" i="1"/>
  <c r="AZ223" i="1"/>
  <c r="AZ219" i="1"/>
  <c r="AZ215" i="1"/>
  <c r="AZ211" i="1"/>
  <c r="AZ207" i="1"/>
  <c r="AZ203" i="1"/>
  <c r="AZ199" i="1"/>
  <c r="AZ195" i="1"/>
  <c r="AZ191" i="1"/>
  <c r="AZ187" i="1"/>
  <c r="AZ183" i="1"/>
  <c r="AZ179" i="1"/>
  <c r="AZ175" i="1"/>
  <c r="AZ171" i="1"/>
  <c r="AZ167" i="1"/>
  <c r="AZ163" i="1"/>
  <c r="AZ159" i="1"/>
  <c r="AZ155" i="1"/>
  <c r="AZ151" i="1"/>
  <c r="AZ147" i="1"/>
  <c r="AZ143" i="1"/>
  <c r="AZ139" i="1"/>
  <c r="AZ135" i="1"/>
  <c r="AZ131" i="1"/>
  <c r="AZ127" i="1"/>
  <c r="AZ123" i="1"/>
  <c r="AZ119" i="1"/>
  <c r="AZ115" i="1"/>
  <c r="AZ111" i="1"/>
  <c r="AZ107" i="1"/>
  <c r="BB2" i="1"/>
  <c r="Y3" i="1" l="1"/>
  <c r="Y4" i="1" s="1"/>
  <c r="Y5" i="1" s="1"/>
  <c r="Z3" i="1" l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Y6" i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Z4" i="1" l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Z5" i="1" l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Z6" i="1" l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Z7" i="1" l="1"/>
  <c r="Z8" i="1" s="1"/>
  <c r="AA7" i="1" l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Z9" i="1"/>
  <c r="AA8" i="1" l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AO8" i="1" s="1"/>
  <c r="AP8" i="1" s="1"/>
  <c r="AQ8" i="1" s="1"/>
  <c r="AR8" i="1" s="1"/>
  <c r="Z10" i="1"/>
  <c r="AA9" i="1" l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AM9" i="1" s="1"/>
  <c r="AN9" i="1" s="1"/>
  <c r="AO9" i="1" s="1"/>
  <c r="AP9" i="1" s="1"/>
  <c r="AQ9" i="1" s="1"/>
  <c r="AR9" i="1" s="1"/>
  <c r="Z11" i="1"/>
  <c r="AA10" i="1" l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Z12" i="1"/>
  <c r="AA11" i="1" l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Z13" i="1"/>
  <c r="AA12" i="1" l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Z14" i="1"/>
  <c r="AA13" i="1" l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Z15" i="1"/>
  <c r="AA14" i="1" l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Z16" i="1"/>
  <c r="AA15" i="1" l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Z17" i="1"/>
  <c r="AA16" i="1" l="1"/>
  <c r="AB16" i="1" s="1"/>
  <c r="AC16" i="1" s="1"/>
  <c r="AD16" i="1" s="1"/>
  <c r="AE16" i="1" s="1"/>
  <c r="AF16" i="1" s="1"/>
  <c r="AG16" i="1" s="1"/>
  <c r="AH16" i="1" s="1"/>
  <c r="AI16" i="1" s="1"/>
  <c r="AJ16" i="1" s="1"/>
  <c r="AK16" i="1" s="1"/>
  <c r="AL16" i="1" s="1"/>
  <c r="AM16" i="1" s="1"/>
  <c r="AN16" i="1" s="1"/>
  <c r="AO16" i="1" s="1"/>
  <c r="AP16" i="1" s="1"/>
  <c r="AQ16" i="1" s="1"/>
  <c r="AR16" i="1" s="1"/>
  <c r="Z18" i="1"/>
  <c r="AA17" i="1" l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AM17" i="1" s="1"/>
  <c r="AN17" i="1" s="1"/>
  <c r="AO17" i="1" s="1"/>
  <c r="AP17" i="1" s="1"/>
  <c r="AQ17" i="1" s="1"/>
  <c r="AR17" i="1" s="1"/>
  <c r="Z19" i="1"/>
  <c r="AA18" i="1" l="1"/>
  <c r="AB18" i="1" s="1"/>
  <c r="AC18" i="1" s="1"/>
  <c r="AD18" i="1" s="1"/>
  <c r="AE18" i="1" s="1"/>
  <c r="AF18" i="1" s="1"/>
  <c r="AG18" i="1" s="1"/>
  <c r="AH18" i="1" s="1"/>
  <c r="AI18" i="1" s="1"/>
  <c r="AJ18" i="1" s="1"/>
  <c r="AK18" i="1" s="1"/>
  <c r="AL18" i="1" s="1"/>
  <c r="AM18" i="1" s="1"/>
  <c r="AN18" i="1" s="1"/>
  <c r="AO18" i="1" s="1"/>
  <c r="AP18" i="1" s="1"/>
  <c r="AQ18" i="1" s="1"/>
  <c r="AR18" i="1" s="1"/>
  <c r="Z20" i="1"/>
  <c r="AA19" i="1" l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AN19" i="1" s="1"/>
  <c r="AO19" i="1" s="1"/>
  <c r="AP19" i="1" s="1"/>
  <c r="AQ19" i="1" s="1"/>
  <c r="AR19" i="1" s="1"/>
  <c r="Z21" i="1"/>
  <c r="AA20" i="1" l="1"/>
  <c r="AB20" i="1" s="1"/>
  <c r="AC20" i="1" s="1"/>
  <c r="AD20" i="1" s="1"/>
  <c r="AE20" i="1" s="1"/>
  <c r="AF20" i="1" s="1"/>
  <c r="AG20" i="1" s="1"/>
  <c r="AH20" i="1" s="1"/>
  <c r="AI20" i="1" s="1"/>
  <c r="AJ20" i="1" s="1"/>
  <c r="AK20" i="1" s="1"/>
  <c r="AL20" i="1" s="1"/>
  <c r="AM20" i="1" s="1"/>
  <c r="AN20" i="1" s="1"/>
  <c r="AO20" i="1" s="1"/>
  <c r="AP20" i="1" s="1"/>
  <c r="AQ20" i="1" s="1"/>
  <c r="AR20" i="1" s="1"/>
  <c r="Z22" i="1"/>
  <c r="AA21" i="1" l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M21" i="1" s="1"/>
  <c r="AN21" i="1" s="1"/>
  <c r="AO21" i="1" s="1"/>
  <c r="AP21" i="1" s="1"/>
  <c r="AQ21" i="1" s="1"/>
  <c r="AR21" i="1" s="1"/>
  <c r="Z23" i="1"/>
  <c r="AA22" i="1" l="1"/>
  <c r="AB22" i="1" s="1"/>
  <c r="AC22" i="1" s="1"/>
  <c r="AD22" i="1" s="1"/>
  <c r="AE22" i="1" s="1"/>
  <c r="AF22" i="1" s="1"/>
  <c r="AG22" i="1" s="1"/>
  <c r="AH22" i="1" s="1"/>
  <c r="AI22" i="1" s="1"/>
  <c r="AJ22" i="1" s="1"/>
  <c r="AK22" i="1" s="1"/>
  <c r="AL22" i="1" s="1"/>
  <c r="AM22" i="1" s="1"/>
  <c r="AN22" i="1" s="1"/>
  <c r="AO22" i="1" s="1"/>
  <c r="AP22" i="1" s="1"/>
  <c r="AQ22" i="1" s="1"/>
  <c r="AR22" i="1" s="1"/>
  <c r="Z24" i="1"/>
  <c r="AA23" i="1" l="1"/>
  <c r="AB23" i="1" s="1"/>
  <c r="AC23" i="1" s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AR23" i="1" s="1"/>
  <c r="Z25" i="1"/>
  <c r="AA24" i="1" l="1"/>
  <c r="AB24" i="1" s="1"/>
  <c r="AC24" i="1" s="1"/>
  <c r="AD24" i="1" s="1"/>
  <c r="AE24" i="1" s="1"/>
  <c r="AF24" i="1" s="1"/>
  <c r="AG24" i="1" s="1"/>
  <c r="AH24" i="1" s="1"/>
  <c r="AI24" i="1" s="1"/>
  <c r="AJ24" i="1" s="1"/>
  <c r="AK24" i="1" s="1"/>
  <c r="AL24" i="1" s="1"/>
  <c r="AM24" i="1" s="1"/>
  <c r="AN24" i="1" s="1"/>
  <c r="AO24" i="1" s="1"/>
  <c r="AP24" i="1" s="1"/>
  <c r="AQ24" i="1" s="1"/>
  <c r="AR24" i="1" s="1"/>
  <c r="Z26" i="1"/>
  <c r="AA25" i="1" l="1"/>
  <c r="AB25" i="1" s="1"/>
  <c r="AC25" i="1" s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AR25" i="1" s="1"/>
  <c r="Z27" i="1"/>
  <c r="AA26" i="1" l="1"/>
  <c r="AB26" i="1" s="1"/>
  <c r="AC26" i="1" s="1"/>
  <c r="AD26" i="1" s="1"/>
  <c r="AE26" i="1" s="1"/>
  <c r="AF26" i="1" s="1"/>
  <c r="AG26" i="1" s="1"/>
  <c r="AH26" i="1" s="1"/>
  <c r="AI26" i="1" s="1"/>
  <c r="AJ26" i="1" s="1"/>
  <c r="AK26" i="1" s="1"/>
  <c r="AL26" i="1" s="1"/>
  <c r="AM26" i="1" s="1"/>
  <c r="AN26" i="1" s="1"/>
  <c r="AO26" i="1" s="1"/>
  <c r="AP26" i="1" s="1"/>
  <c r="AQ26" i="1" s="1"/>
  <c r="AR26" i="1" s="1"/>
  <c r="Z28" i="1"/>
  <c r="AA27" i="1" l="1"/>
  <c r="AB27" i="1" s="1"/>
  <c r="AC27" i="1" s="1"/>
  <c r="AD27" i="1" s="1"/>
  <c r="AE27" i="1" s="1"/>
  <c r="AF27" i="1" s="1"/>
  <c r="AG27" i="1" s="1"/>
  <c r="AH27" i="1" s="1"/>
  <c r="AI27" i="1" s="1"/>
  <c r="AJ27" i="1" s="1"/>
  <c r="AK27" i="1" s="1"/>
  <c r="AL27" i="1" s="1"/>
  <c r="AM27" i="1" s="1"/>
  <c r="AN27" i="1" s="1"/>
  <c r="AO27" i="1" s="1"/>
  <c r="AP27" i="1" s="1"/>
  <c r="AQ27" i="1" s="1"/>
  <c r="AR27" i="1" s="1"/>
  <c r="Z29" i="1"/>
  <c r="AA28" i="1" l="1"/>
  <c r="AB28" i="1" s="1"/>
  <c r="AC28" i="1" s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AR28" i="1" s="1"/>
  <c r="Z30" i="1"/>
  <c r="AA29" i="1" l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AQ29" i="1" s="1"/>
  <c r="AR29" i="1" s="1"/>
  <c r="Z31" i="1"/>
  <c r="AA30" i="1" l="1"/>
  <c r="AB30" i="1" s="1"/>
  <c r="AC30" i="1" s="1"/>
  <c r="AD30" i="1" s="1"/>
  <c r="AE30" i="1" s="1"/>
  <c r="AF30" i="1" s="1"/>
  <c r="AG30" i="1" s="1"/>
  <c r="AH30" i="1" s="1"/>
  <c r="AI30" i="1" s="1"/>
  <c r="AJ30" i="1" s="1"/>
  <c r="AK30" i="1" s="1"/>
  <c r="AL30" i="1" s="1"/>
  <c r="AM30" i="1" s="1"/>
  <c r="AN30" i="1" s="1"/>
  <c r="AO30" i="1" s="1"/>
  <c r="AP30" i="1" s="1"/>
  <c r="AQ30" i="1" s="1"/>
  <c r="AR30" i="1" s="1"/>
  <c r="Z32" i="1"/>
  <c r="AA31" i="1" l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Z33" i="1"/>
  <c r="AA32" i="1" l="1"/>
  <c r="AB32" i="1" s="1"/>
  <c r="AC32" i="1" s="1"/>
  <c r="AD32" i="1" s="1"/>
  <c r="AE32" i="1" s="1"/>
  <c r="AF32" i="1" s="1"/>
  <c r="AG32" i="1" s="1"/>
  <c r="AH32" i="1" s="1"/>
  <c r="AI32" i="1" s="1"/>
  <c r="AJ32" i="1" s="1"/>
  <c r="AK32" i="1" s="1"/>
  <c r="AL32" i="1" s="1"/>
  <c r="AM32" i="1" s="1"/>
  <c r="AN32" i="1" s="1"/>
  <c r="AO32" i="1" s="1"/>
  <c r="AP32" i="1" s="1"/>
  <c r="AQ32" i="1" s="1"/>
  <c r="AR32" i="1" s="1"/>
  <c r="Z34" i="1"/>
  <c r="AA33" i="1" l="1"/>
  <c r="AB33" i="1" s="1"/>
  <c r="AC33" i="1" s="1"/>
  <c r="AD33" i="1" s="1"/>
  <c r="AE33" i="1" s="1"/>
  <c r="AF33" i="1" s="1"/>
  <c r="AG33" i="1" s="1"/>
  <c r="AH33" i="1" s="1"/>
  <c r="AI33" i="1" s="1"/>
  <c r="AJ33" i="1" s="1"/>
  <c r="AK33" i="1" s="1"/>
  <c r="AL33" i="1" s="1"/>
  <c r="AM33" i="1" s="1"/>
  <c r="AN33" i="1" s="1"/>
  <c r="AO33" i="1" s="1"/>
  <c r="AP33" i="1" s="1"/>
  <c r="AQ33" i="1" s="1"/>
  <c r="AR33" i="1" s="1"/>
  <c r="Z35" i="1"/>
  <c r="AA34" i="1" l="1"/>
  <c r="AB34" i="1" s="1"/>
  <c r="AC34" i="1" s="1"/>
  <c r="AD34" i="1" s="1"/>
  <c r="AE34" i="1" s="1"/>
  <c r="AF34" i="1" s="1"/>
  <c r="AG34" i="1" s="1"/>
  <c r="AH34" i="1" s="1"/>
  <c r="AI34" i="1" s="1"/>
  <c r="AJ34" i="1" s="1"/>
  <c r="AK34" i="1" s="1"/>
  <c r="AL34" i="1" s="1"/>
  <c r="AM34" i="1" s="1"/>
  <c r="AN34" i="1" s="1"/>
  <c r="AO34" i="1" s="1"/>
  <c r="AP34" i="1" s="1"/>
  <c r="AQ34" i="1" s="1"/>
  <c r="AR34" i="1" s="1"/>
  <c r="Z36" i="1"/>
  <c r="AA35" i="1" l="1"/>
  <c r="AB35" i="1" s="1"/>
  <c r="AC35" i="1" s="1"/>
  <c r="AD35" i="1" s="1"/>
  <c r="AE35" i="1" s="1"/>
  <c r="AF35" i="1" s="1"/>
  <c r="AG35" i="1" s="1"/>
  <c r="AH35" i="1" s="1"/>
  <c r="AI35" i="1" s="1"/>
  <c r="AJ35" i="1" s="1"/>
  <c r="AK35" i="1" s="1"/>
  <c r="AL35" i="1" s="1"/>
  <c r="AM35" i="1" s="1"/>
  <c r="AN35" i="1" s="1"/>
  <c r="AO35" i="1" s="1"/>
  <c r="AP35" i="1" s="1"/>
  <c r="AQ35" i="1" s="1"/>
  <c r="AR35" i="1" s="1"/>
  <c r="Z37" i="1"/>
  <c r="AA36" i="1" l="1"/>
  <c r="AB36" i="1" s="1"/>
  <c r="AC36" i="1" s="1"/>
  <c r="AD36" i="1" s="1"/>
  <c r="AE36" i="1" s="1"/>
  <c r="AF36" i="1" s="1"/>
  <c r="AG36" i="1" s="1"/>
  <c r="AH36" i="1" s="1"/>
  <c r="AI36" i="1" s="1"/>
  <c r="AJ36" i="1" s="1"/>
  <c r="AK36" i="1" s="1"/>
  <c r="AL36" i="1" s="1"/>
  <c r="AM36" i="1" s="1"/>
  <c r="AN36" i="1" s="1"/>
  <c r="AO36" i="1" s="1"/>
  <c r="AP36" i="1" s="1"/>
  <c r="AQ36" i="1" s="1"/>
  <c r="AR36" i="1" s="1"/>
  <c r="Z38" i="1"/>
  <c r="AA37" i="1" l="1"/>
  <c r="AB37" i="1" s="1"/>
  <c r="AC37" i="1" s="1"/>
  <c r="AD37" i="1" s="1"/>
  <c r="AE37" i="1" s="1"/>
  <c r="AF37" i="1" s="1"/>
  <c r="AG37" i="1" s="1"/>
  <c r="AH37" i="1" s="1"/>
  <c r="AI37" i="1" s="1"/>
  <c r="AJ37" i="1" s="1"/>
  <c r="AK37" i="1" s="1"/>
  <c r="AL37" i="1" s="1"/>
  <c r="AM37" i="1" s="1"/>
  <c r="AN37" i="1" s="1"/>
  <c r="AO37" i="1" s="1"/>
  <c r="AP37" i="1" s="1"/>
  <c r="AQ37" i="1" s="1"/>
  <c r="AR37" i="1" s="1"/>
  <c r="Z39" i="1"/>
  <c r="AA38" i="1" l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Z40" i="1"/>
  <c r="AA39" i="1" l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Z41" i="1"/>
  <c r="AA40" i="1" l="1"/>
  <c r="AB40" i="1" s="1"/>
  <c r="AC40" i="1" s="1"/>
  <c r="AD40" i="1" s="1"/>
  <c r="AE40" i="1" s="1"/>
  <c r="AF40" i="1" s="1"/>
  <c r="AG40" i="1" s="1"/>
  <c r="AH40" i="1" s="1"/>
  <c r="AI40" i="1" s="1"/>
  <c r="AJ40" i="1" s="1"/>
  <c r="AK40" i="1" s="1"/>
  <c r="AL40" i="1" s="1"/>
  <c r="AM40" i="1" s="1"/>
  <c r="AN40" i="1" s="1"/>
  <c r="AO40" i="1" s="1"/>
  <c r="AP40" i="1" s="1"/>
  <c r="AQ40" i="1" s="1"/>
  <c r="AR40" i="1" s="1"/>
  <c r="Z42" i="1"/>
  <c r="AA41" i="1" l="1"/>
  <c r="AB41" i="1" s="1"/>
  <c r="AC41" i="1" s="1"/>
  <c r="AD41" i="1" s="1"/>
  <c r="AE41" i="1" s="1"/>
  <c r="AF41" i="1" s="1"/>
  <c r="AG41" i="1" s="1"/>
  <c r="AH41" i="1" s="1"/>
  <c r="AI41" i="1" s="1"/>
  <c r="AJ41" i="1" s="1"/>
  <c r="AK41" i="1" s="1"/>
  <c r="AL41" i="1" s="1"/>
  <c r="AM41" i="1" s="1"/>
  <c r="AN41" i="1" s="1"/>
  <c r="AO41" i="1" s="1"/>
  <c r="AP41" i="1" s="1"/>
  <c r="AQ41" i="1" s="1"/>
  <c r="AR41" i="1" s="1"/>
  <c r="Z43" i="1"/>
  <c r="AA42" i="1" l="1"/>
  <c r="AB42" i="1" s="1"/>
  <c r="AC42" i="1" s="1"/>
  <c r="AD42" i="1" s="1"/>
  <c r="AE42" i="1" s="1"/>
  <c r="AF42" i="1" s="1"/>
  <c r="AG42" i="1" s="1"/>
  <c r="AH42" i="1" s="1"/>
  <c r="AI42" i="1" s="1"/>
  <c r="AJ42" i="1" s="1"/>
  <c r="AK42" i="1" s="1"/>
  <c r="AL42" i="1" s="1"/>
  <c r="AM42" i="1" s="1"/>
  <c r="AN42" i="1" s="1"/>
  <c r="AO42" i="1" s="1"/>
  <c r="AP42" i="1" s="1"/>
  <c r="AQ42" i="1" s="1"/>
  <c r="AR42" i="1" s="1"/>
  <c r="Z44" i="1"/>
  <c r="AA43" i="1" l="1"/>
  <c r="AB43" i="1" s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AR43" i="1" s="1"/>
  <c r="Z45" i="1"/>
  <c r="AA44" i="1" l="1"/>
  <c r="AB44" i="1" s="1"/>
  <c r="AC44" i="1" s="1"/>
  <c r="AD44" i="1" s="1"/>
  <c r="AE44" i="1" s="1"/>
  <c r="AF44" i="1" s="1"/>
  <c r="AG44" i="1" s="1"/>
  <c r="AH44" i="1" s="1"/>
  <c r="AI44" i="1" s="1"/>
  <c r="AJ44" i="1" s="1"/>
  <c r="AK44" i="1" s="1"/>
  <c r="AL44" i="1" s="1"/>
  <c r="AM44" i="1" s="1"/>
  <c r="AN44" i="1" s="1"/>
  <c r="AO44" i="1" s="1"/>
  <c r="AP44" i="1" s="1"/>
  <c r="AQ44" i="1" s="1"/>
  <c r="AR44" i="1" s="1"/>
  <c r="Z46" i="1"/>
  <c r="AA45" i="1" l="1"/>
  <c r="AB45" i="1" s="1"/>
  <c r="AC45" i="1" s="1"/>
  <c r="AD45" i="1" s="1"/>
  <c r="AE45" i="1" s="1"/>
  <c r="AF45" i="1" s="1"/>
  <c r="AG45" i="1" s="1"/>
  <c r="AH45" i="1" s="1"/>
  <c r="AI45" i="1" s="1"/>
  <c r="AJ45" i="1" s="1"/>
  <c r="AK45" i="1" s="1"/>
  <c r="AL45" i="1" s="1"/>
  <c r="AM45" i="1" s="1"/>
  <c r="AN45" i="1" s="1"/>
  <c r="AO45" i="1" s="1"/>
  <c r="AP45" i="1" s="1"/>
  <c r="AQ45" i="1" s="1"/>
  <c r="AR45" i="1" s="1"/>
  <c r="Z47" i="1"/>
  <c r="AA46" i="1" l="1"/>
  <c r="AB46" i="1" s="1"/>
  <c r="AC46" i="1" s="1"/>
  <c r="AD46" i="1" s="1"/>
  <c r="AE46" i="1" s="1"/>
  <c r="AF46" i="1" s="1"/>
  <c r="AG46" i="1" s="1"/>
  <c r="AH46" i="1" s="1"/>
  <c r="AI46" i="1" s="1"/>
  <c r="AJ46" i="1" s="1"/>
  <c r="AK46" i="1" s="1"/>
  <c r="AL46" i="1" s="1"/>
  <c r="AM46" i="1" s="1"/>
  <c r="AN46" i="1" s="1"/>
  <c r="AO46" i="1" s="1"/>
  <c r="AP46" i="1" s="1"/>
  <c r="AQ46" i="1" s="1"/>
  <c r="AR46" i="1" s="1"/>
  <c r="Z48" i="1"/>
  <c r="AA47" i="1" l="1"/>
  <c r="AB47" i="1" s="1"/>
  <c r="AC47" i="1" s="1"/>
  <c r="AD47" i="1" s="1"/>
  <c r="AE47" i="1" s="1"/>
  <c r="AF47" i="1" s="1"/>
  <c r="AG47" i="1" s="1"/>
  <c r="AH47" i="1" s="1"/>
  <c r="AI47" i="1" s="1"/>
  <c r="AJ47" i="1" s="1"/>
  <c r="AK47" i="1" s="1"/>
  <c r="AL47" i="1" s="1"/>
  <c r="AM47" i="1" s="1"/>
  <c r="AN47" i="1" s="1"/>
  <c r="AO47" i="1" s="1"/>
  <c r="AP47" i="1" s="1"/>
  <c r="AQ47" i="1" s="1"/>
  <c r="AR47" i="1" s="1"/>
  <c r="Z49" i="1"/>
  <c r="AA48" i="1" l="1"/>
  <c r="AB48" i="1" s="1"/>
  <c r="AC48" i="1" s="1"/>
  <c r="AD48" i="1" s="1"/>
  <c r="AE48" i="1" s="1"/>
  <c r="AF48" i="1" s="1"/>
  <c r="AG48" i="1" s="1"/>
  <c r="AH48" i="1" s="1"/>
  <c r="AI48" i="1" s="1"/>
  <c r="AJ48" i="1" s="1"/>
  <c r="AK48" i="1" s="1"/>
  <c r="AL48" i="1" s="1"/>
  <c r="AM48" i="1" s="1"/>
  <c r="AN48" i="1" s="1"/>
  <c r="AO48" i="1" s="1"/>
  <c r="AP48" i="1" s="1"/>
  <c r="AQ48" i="1" s="1"/>
  <c r="AR48" i="1" s="1"/>
  <c r="Z50" i="1"/>
  <c r="AA49" i="1" l="1"/>
  <c r="AB49" i="1" s="1"/>
  <c r="AC49" i="1" s="1"/>
  <c r="AD49" i="1" s="1"/>
  <c r="AE49" i="1" s="1"/>
  <c r="AF49" i="1" s="1"/>
  <c r="AG49" i="1" s="1"/>
  <c r="AH49" i="1" s="1"/>
  <c r="AI49" i="1" s="1"/>
  <c r="AJ49" i="1" s="1"/>
  <c r="AK49" i="1" s="1"/>
  <c r="AL49" i="1" s="1"/>
  <c r="AM49" i="1" s="1"/>
  <c r="AN49" i="1" s="1"/>
  <c r="AO49" i="1" s="1"/>
  <c r="AP49" i="1" s="1"/>
  <c r="AQ49" i="1" s="1"/>
  <c r="AR49" i="1" s="1"/>
  <c r="Z51" i="1"/>
  <c r="AA50" i="1" l="1"/>
  <c r="AB50" i="1" s="1"/>
  <c r="AC50" i="1" s="1"/>
  <c r="AD50" i="1" s="1"/>
  <c r="AE50" i="1" s="1"/>
  <c r="AF50" i="1" s="1"/>
  <c r="AG50" i="1" s="1"/>
  <c r="AH50" i="1" s="1"/>
  <c r="AI50" i="1" s="1"/>
  <c r="AJ50" i="1" s="1"/>
  <c r="AK50" i="1" s="1"/>
  <c r="AL50" i="1" s="1"/>
  <c r="AM50" i="1" s="1"/>
  <c r="AN50" i="1" s="1"/>
  <c r="AO50" i="1" s="1"/>
  <c r="AP50" i="1" s="1"/>
  <c r="AQ50" i="1" s="1"/>
  <c r="AR50" i="1" s="1"/>
  <c r="Z52" i="1"/>
  <c r="AA51" i="1" l="1"/>
  <c r="AB51" i="1" s="1"/>
  <c r="AC51" i="1" s="1"/>
  <c r="AD51" i="1" s="1"/>
  <c r="AE51" i="1" s="1"/>
  <c r="AF51" i="1" s="1"/>
  <c r="AG51" i="1" s="1"/>
  <c r="AH51" i="1" s="1"/>
  <c r="AI51" i="1" s="1"/>
  <c r="AJ51" i="1" s="1"/>
  <c r="AK51" i="1" s="1"/>
  <c r="AL51" i="1" s="1"/>
  <c r="AM51" i="1" s="1"/>
  <c r="AN51" i="1" s="1"/>
  <c r="AO51" i="1" s="1"/>
  <c r="AP51" i="1" s="1"/>
  <c r="AQ51" i="1" s="1"/>
  <c r="AR51" i="1" s="1"/>
  <c r="Z53" i="1"/>
  <c r="AA52" i="1" l="1"/>
  <c r="AB52" i="1" s="1"/>
  <c r="AC52" i="1" s="1"/>
  <c r="AD52" i="1" s="1"/>
  <c r="AE52" i="1" s="1"/>
  <c r="AF52" i="1" s="1"/>
  <c r="AG52" i="1" s="1"/>
  <c r="AH52" i="1" s="1"/>
  <c r="AI52" i="1" s="1"/>
  <c r="AJ52" i="1" s="1"/>
  <c r="AK52" i="1" s="1"/>
  <c r="AL52" i="1" s="1"/>
  <c r="AM52" i="1" s="1"/>
  <c r="AN52" i="1" s="1"/>
  <c r="AO52" i="1" s="1"/>
  <c r="AP52" i="1" s="1"/>
  <c r="AQ52" i="1" s="1"/>
  <c r="AR52" i="1" s="1"/>
  <c r="Z54" i="1"/>
  <c r="AA53" i="1" l="1"/>
  <c r="AB53" i="1" s="1"/>
  <c r="AC53" i="1" s="1"/>
  <c r="AD53" i="1" s="1"/>
  <c r="AE53" i="1" s="1"/>
  <c r="AF53" i="1" s="1"/>
  <c r="AG53" i="1" s="1"/>
  <c r="AH53" i="1" s="1"/>
  <c r="AI53" i="1" s="1"/>
  <c r="AJ53" i="1" s="1"/>
  <c r="AK53" i="1" s="1"/>
  <c r="AL53" i="1" s="1"/>
  <c r="AM53" i="1" s="1"/>
  <c r="AN53" i="1" s="1"/>
  <c r="AO53" i="1" s="1"/>
  <c r="AP53" i="1" s="1"/>
  <c r="AQ53" i="1" s="1"/>
  <c r="AR53" i="1" s="1"/>
  <c r="Z55" i="1"/>
  <c r="AA54" i="1" l="1"/>
  <c r="AB54" i="1" s="1"/>
  <c r="AC54" i="1" s="1"/>
  <c r="AD54" i="1" s="1"/>
  <c r="AE54" i="1" s="1"/>
  <c r="AF54" i="1" s="1"/>
  <c r="AG54" i="1" s="1"/>
  <c r="AH54" i="1" s="1"/>
  <c r="AI54" i="1" s="1"/>
  <c r="AJ54" i="1" s="1"/>
  <c r="AK54" i="1" s="1"/>
  <c r="AL54" i="1" s="1"/>
  <c r="AM54" i="1" s="1"/>
  <c r="AN54" i="1" s="1"/>
  <c r="AO54" i="1" s="1"/>
  <c r="AP54" i="1" s="1"/>
  <c r="AQ54" i="1" s="1"/>
  <c r="AR54" i="1" s="1"/>
  <c r="Z56" i="1"/>
  <c r="AA55" i="1" l="1"/>
  <c r="AB55" i="1" s="1"/>
  <c r="AC55" i="1" s="1"/>
  <c r="AD55" i="1" s="1"/>
  <c r="AE55" i="1" s="1"/>
  <c r="AF55" i="1" s="1"/>
  <c r="AG55" i="1" s="1"/>
  <c r="AH55" i="1" s="1"/>
  <c r="AI55" i="1" s="1"/>
  <c r="AJ55" i="1" s="1"/>
  <c r="AK55" i="1" s="1"/>
  <c r="AL55" i="1" s="1"/>
  <c r="AM55" i="1" s="1"/>
  <c r="AN55" i="1" s="1"/>
  <c r="AO55" i="1" s="1"/>
  <c r="AP55" i="1" s="1"/>
  <c r="AQ55" i="1" s="1"/>
  <c r="AR55" i="1" s="1"/>
  <c r="Z57" i="1"/>
  <c r="AA56" i="1" l="1"/>
  <c r="AB56" i="1" s="1"/>
  <c r="AC56" i="1" s="1"/>
  <c r="AD56" i="1" s="1"/>
  <c r="AE56" i="1" s="1"/>
  <c r="AF56" i="1" s="1"/>
  <c r="AG56" i="1" s="1"/>
  <c r="AH56" i="1" s="1"/>
  <c r="AI56" i="1" s="1"/>
  <c r="AJ56" i="1" s="1"/>
  <c r="AK56" i="1" s="1"/>
  <c r="AL56" i="1" s="1"/>
  <c r="AM56" i="1" s="1"/>
  <c r="AN56" i="1" s="1"/>
  <c r="AO56" i="1" s="1"/>
  <c r="AP56" i="1" s="1"/>
  <c r="AQ56" i="1" s="1"/>
  <c r="AR56" i="1" s="1"/>
  <c r="Z58" i="1"/>
  <c r="AA57" i="1" l="1"/>
  <c r="AB57" i="1" s="1"/>
  <c r="AC57" i="1" s="1"/>
  <c r="AD57" i="1" s="1"/>
  <c r="AE57" i="1" s="1"/>
  <c r="AF57" i="1" s="1"/>
  <c r="AG57" i="1" s="1"/>
  <c r="AH57" i="1" s="1"/>
  <c r="AI57" i="1" s="1"/>
  <c r="AJ57" i="1" s="1"/>
  <c r="AK57" i="1" s="1"/>
  <c r="AL57" i="1" s="1"/>
  <c r="AM57" i="1" s="1"/>
  <c r="AN57" i="1" s="1"/>
  <c r="AO57" i="1" s="1"/>
  <c r="AP57" i="1" s="1"/>
  <c r="AQ57" i="1" s="1"/>
  <c r="AR57" i="1" s="1"/>
  <c r="Z59" i="1"/>
  <c r="AA58" i="1" l="1"/>
  <c r="AB58" i="1" s="1"/>
  <c r="AC58" i="1" s="1"/>
  <c r="AD58" i="1" s="1"/>
  <c r="AE58" i="1" s="1"/>
  <c r="AF58" i="1" s="1"/>
  <c r="AG58" i="1" s="1"/>
  <c r="AH58" i="1" s="1"/>
  <c r="AI58" i="1" s="1"/>
  <c r="AJ58" i="1" s="1"/>
  <c r="AK58" i="1" s="1"/>
  <c r="AL58" i="1" s="1"/>
  <c r="AM58" i="1" s="1"/>
  <c r="AN58" i="1" s="1"/>
  <c r="AO58" i="1" s="1"/>
  <c r="AP58" i="1" s="1"/>
  <c r="AQ58" i="1" s="1"/>
  <c r="AR58" i="1" s="1"/>
  <c r="Z60" i="1"/>
  <c r="AA59" i="1" l="1"/>
  <c r="AB59" i="1" s="1"/>
  <c r="AC59" i="1" s="1"/>
  <c r="AD59" i="1" s="1"/>
  <c r="AE59" i="1" s="1"/>
  <c r="AF59" i="1" s="1"/>
  <c r="AG59" i="1" s="1"/>
  <c r="AH59" i="1" s="1"/>
  <c r="AI59" i="1" s="1"/>
  <c r="AJ59" i="1" s="1"/>
  <c r="AK59" i="1" s="1"/>
  <c r="AL59" i="1" s="1"/>
  <c r="AM59" i="1" s="1"/>
  <c r="AN59" i="1" s="1"/>
  <c r="AO59" i="1" s="1"/>
  <c r="AP59" i="1" s="1"/>
  <c r="AQ59" i="1" s="1"/>
  <c r="AR59" i="1" s="1"/>
  <c r="Z61" i="1"/>
  <c r="AA60" i="1" l="1"/>
  <c r="AB60" i="1" s="1"/>
  <c r="AC60" i="1" s="1"/>
  <c r="AD60" i="1" s="1"/>
  <c r="AE60" i="1" s="1"/>
  <c r="AF60" i="1" s="1"/>
  <c r="AG60" i="1" s="1"/>
  <c r="AH60" i="1" s="1"/>
  <c r="AI60" i="1" s="1"/>
  <c r="AJ60" i="1" s="1"/>
  <c r="AK60" i="1" s="1"/>
  <c r="AL60" i="1" s="1"/>
  <c r="AM60" i="1" s="1"/>
  <c r="AN60" i="1" s="1"/>
  <c r="AO60" i="1" s="1"/>
  <c r="AP60" i="1" s="1"/>
  <c r="AQ60" i="1" s="1"/>
  <c r="AR60" i="1" s="1"/>
  <c r="Z62" i="1"/>
  <c r="AA61" i="1" l="1"/>
  <c r="AB61" i="1" s="1"/>
  <c r="AC61" i="1" s="1"/>
  <c r="AD61" i="1" s="1"/>
  <c r="AE61" i="1" s="1"/>
  <c r="AF61" i="1" s="1"/>
  <c r="AG61" i="1" s="1"/>
  <c r="AH61" i="1" s="1"/>
  <c r="AI61" i="1" s="1"/>
  <c r="AJ61" i="1" s="1"/>
  <c r="AK61" i="1" s="1"/>
  <c r="AL61" i="1" s="1"/>
  <c r="AM61" i="1" s="1"/>
  <c r="AN61" i="1" s="1"/>
  <c r="AO61" i="1" s="1"/>
  <c r="AP61" i="1" s="1"/>
  <c r="AQ61" i="1" s="1"/>
  <c r="AR61" i="1" s="1"/>
  <c r="Z63" i="1"/>
  <c r="AA62" i="1" l="1"/>
  <c r="AB62" i="1" s="1"/>
  <c r="AC62" i="1" s="1"/>
  <c r="AD62" i="1" s="1"/>
  <c r="AE62" i="1" s="1"/>
  <c r="AF62" i="1" s="1"/>
  <c r="AG62" i="1" s="1"/>
  <c r="AH62" i="1" s="1"/>
  <c r="AI62" i="1" s="1"/>
  <c r="AJ62" i="1" s="1"/>
  <c r="AK62" i="1" s="1"/>
  <c r="AL62" i="1" s="1"/>
  <c r="AM62" i="1" s="1"/>
  <c r="AN62" i="1" s="1"/>
  <c r="AO62" i="1" s="1"/>
  <c r="AP62" i="1" s="1"/>
  <c r="AQ62" i="1" s="1"/>
  <c r="AR62" i="1" s="1"/>
  <c r="Z64" i="1"/>
  <c r="AA63" i="1" l="1"/>
  <c r="AB63" i="1" s="1"/>
  <c r="AC63" i="1" s="1"/>
  <c r="AD63" i="1" s="1"/>
  <c r="AE63" i="1" s="1"/>
  <c r="AF63" i="1" s="1"/>
  <c r="AG63" i="1" s="1"/>
  <c r="AH63" i="1" s="1"/>
  <c r="AI63" i="1" s="1"/>
  <c r="AJ63" i="1" s="1"/>
  <c r="AK63" i="1" s="1"/>
  <c r="AL63" i="1" s="1"/>
  <c r="AM63" i="1" s="1"/>
  <c r="AN63" i="1" s="1"/>
  <c r="AO63" i="1" s="1"/>
  <c r="AP63" i="1" s="1"/>
  <c r="AQ63" i="1" s="1"/>
  <c r="AR63" i="1" s="1"/>
  <c r="Z65" i="1"/>
  <c r="AA64" i="1" l="1"/>
  <c r="AB64" i="1" s="1"/>
  <c r="AC64" i="1" s="1"/>
  <c r="AD64" i="1" s="1"/>
  <c r="AE64" i="1" s="1"/>
  <c r="AF64" i="1" s="1"/>
  <c r="AG64" i="1" s="1"/>
  <c r="AH64" i="1" s="1"/>
  <c r="AI64" i="1" s="1"/>
  <c r="AJ64" i="1" s="1"/>
  <c r="AK64" i="1" s="1"/>
  <c r="AL64" i="1" s="1"/>
  <c r="AM64" i="1" s="1"/>
  <c r="AN64" i="1" s="1"/>
  <c r="AO64" i="1" s="1"/>
  <c r="AP64" i="1" s="1"/>
  <c r="AQ64" i="1" s="1"/>
  <c r="AR64" i="1" s="1"/>
  <c r="Z66" i="1"/>
  <c r="AA65" i="1" l="1"/>
  <c r="AB65" i="1" s="1"/>
  <c r="AC65" i="1" s="1"/>
  <c r="AD65" i="1" s="1"/>
  <c r="AE65" i="1" s="1"/>
  <c r="AF65" i="1" s="1"/>
  <c r="AG65" i="1" s="1"/>
  <c r="AH65" i="1" s="1"/>
  <c r="AI65" i="1" s="1"/>
  <c r="AJ65" i="1" s="1"/>
  <c r="AK65" i="1" s="1"/>
  <c r="AL65" i="1" s="1"/>
  <c r="AM65" i="1" s="1"/>
  <c r="AN65" i="1" s="1"/>
  <c r="AO65" i="1" s="1"/>
  <c r="AP65" i="1" s="1"/>
  <c r="AQ65" i="1" s="1"/>
  <c r="AR65" i="1" s="1"/>
  <c r="Z67" i="1"/>
  <c r="AA66" i="1" l="1"/>
  <c r="AB66" i="1" s="1"/>
  <c r="AC66" i="1" s="1"/>
  <c r="AD66" i="1" s="1"/>
  <c r="AE66" i="1" s="1"/>
  <c r="AF66" i="1" s="1"/>
  <c r="AG66" i="1" s="1"/>
  <c r="AH66" i="1" s="1"/>
  <c r="AI66" i="1" s="1"/>
  <c r="AJ66" i="1" s="1"/>
  <c r="AK66" i="1" s="1"/>
  <c r="AL66" i="1" s="1"/>
  <c r="AM66" i="1" s="1"/>
  <c r="AN66" i="1" s="1"/>
  <c r="AO66" i="1" s="1"/>
  <c r="AP66" i="1" s="1"/>
  <c r="AQ66" i="1" s="1"/>
  <c r="AR66" i="1" s="1"/>
  <c r="Z68" i="1"/>
  <c r="AA67" i="1" l="1"/>
  <c r="AB67" i="1" s="1"/>
  <c r="AC67" i="1" s="1"/>
  <c r="AD67" i="1" s="1"/>
  <c r="AE67" i="1" s="1"/>
  <c r="AF67" i="1" s="1"/>
  <c r="AG67" i="1" s="1"/>
  <c r="AH67" i="1" s="1"/>
  <c r="AI67" i="1" s="1"/>
  <c r="AJ67" i="1" s="1"/>
  <c r="AK67" i="1" s="1"/>
  <c r="AL67" i="1" s="1"/>
  <c r="AM67" i="1" s="1"/>
  <c r="AN67" i="1" s="1"/>
  <c r="AO67" i="1" s="1"/>
  <c r="AP67" i="1" s="1"/>
  <c r="AQ67" i="1" s="1"/>
  <c r="AR67" i="1" s="1"/>
  <c r="Z69" i="1"/>
  <c r="AA68" i="1" l="1"/>
  <c r="AB68" i="1" s="1"/>
  <c r="AC68" i="1" s="1"/>
  <c r="AD68" i="1" s="1"/>
  <c r="AE68" i="1" s="1"/>
  <c r="AF68" i="1" s="1"/>
  <c r="AG68" i="1" s="1"/>
  <c r="AH68" i="1" s="1"/>
  <c r="AI68" i="1" s="1"/>
  <c r="AJ68" i="1" s="1"/>
  <c r="AK68" i="1" s="1"/>
  <c r="AL68" i="1" s="1"/>
  <c r="AM68" i="1" s="1"/>
  <c r="AN68" i="1" s="1"/>
  <c r="AO68" i="1" s="1"/>
  <c r="AP68" i="1" s="1"/>
  <c r="AQ68" i="1" s="1"/>
  <c r="AR68" i="1" s="1"/>
  <c r="Z70" i="1"/>
  <c r="AA69" i="1" l="1"/>
  <c r="AB69" i="1" s="1"/>
  <c r="AC69" i="1" s="1"/>
  <c r="AD69" i="1" s="1"/>
  <c r="AE69" i="1" s="1"/>
  <c r="AF69" i="1" s="1"/>
  <c r="AG69" i="1" s="1"/>
  <c r="AH69" i="1" s="1"/>
  <c r="AI69" i="1" s="1"/>
  <c r="AJ69" i="1" s="1"/>
  <c r="AK69" i="1" s="1"/>
  <c r="AL69" i="1" s="1"/>
  <c r="AM69" i="1" s="1"/>
  <c r="AN69" i="1" s="1"/>
  <c r="AO69" i="1" s="1"/>
  <c r="AP69" i="1" s="1"/>
  <c r="AQ69" i="1" s="1"/>
  <c r="AR69" i="1" s="1"/>
  <c r="Z71" i="1"/>
  <c r="AA70" i="1" l="1"/>
  <c r="AB70" i="1" s="1"/>
  <c r="AC70" i="1" s="1"/>
  <c r="AD70" i="1" s="1"/>
  <c r="AE70" i="1" s="1"/>
  <c r="AF70" i="1" s="1"/>
  <c r="AG70" i="1" s="1"/>
  <c r="AH70" i="1" s="1"/>
  <c r="AI70" i="1" s="1"/>
  <c r="AJ70" i="1" s="1"/>
  <c r="AK70" i="1" s="1"/>
  <c r="AL70" i="1" s="1"/>
  <c r="AM70" i="1" s="1"/>
  <c r="AN70" i="1" s="1"/>
  <c r="AO70" i="1" s="1"/>
  <c r="AP70" i="1" s="1"/>
  <c r="AQ70" i="1" s="1"/>
  <c r="AR70" i="1" s="1"/>
  <c r="Z72" i="1"/>
  <c r="AA71" i="1" l="1"/>
  <c r="AB71" i="1" s="1"/>
  <c r="AC71" i="1" s="1"/>
  <c r="AD71" i="1" s="1"/>
  <c r="AE71" i="1" s="1"/>
  <c r="AF71" i="1" s="1"/>
  <c r="AG71" i="1" s="1"/>
  <c r="AH71" i="1" s="1"/>
  <c r="AI71" i="1" s="1"/>
  <c r="AJ71" i="1" s="1"/>
  <c r="AK71" i="1" s="1"/>
  <c r="AL71" i="1" s="1"/>
  <c r="AM71" i="1" s="1"/>
  <c r="AN71" i="1" s="1"/>
  <c r="AO71" i="1" s="1"/>
  <c r="AP71" i="1" s="1"/>
  <c r="AQ71" i="1" s="1"/>
  <c r="AR71" i="1" s="1"/>
  <c r="Z73" i="1"/>
  <c r="AA72" i="1" l="1"/>
  <c r="AB72" i="1" s="1"/>
  <c r="AC72" i="1" s="1"/>
  <c r="AD72" i="1" s="1"/>
  <c r="AE72" i="1" s="1"/>
  <c r="AF72" i="1" s="1"/>
  <c r="AG72" i="1" s="1"/>
  <c r="AH72" i="1" s="1"/>
  <c r="AI72" i="1" s="1"/>
  <c r="AJ72" i="1" s="1"/>
  <c r="AK72" i="1" s="1"/>
  <c r="AL72" i="1" s="1"/>
  <c r="AM72" i="1" s="1"/>
  <c r="AN72" i="1" s="1"/>
  <c r="AO72" i="1" s="1"/>
  <c r="AP72" i="1" s="1"/>
  <c r="AQ72" i="1" s="1"/>
  <c r="AR72" i="1" s="1"/>
  <c r="Z74" i="1"/>
  <c r="AA73" i="1" l="1"/>
  <c r="AB73" i="1" s="1"/>
  <c r="AC73" i="1" s="1"/>
  <c r="AD73" i="1" s="1"/>
  <c r="AE73" i="1" s="1"/>
  <c r="AF73" i="1" s="1"/>
  <c r="AG73" i="1" s="1"/>
  <c r="AH73" i="1" s="1"/>
  <c r="AI73" i="1" s="1"/>
  <c r="AJ73" i="1" s="1"/>
  <c r="AK73" i="1" s="1"/>
  <c r="AL73" i="1" s="1"/>
  <c r="AM73" i="1" s="1"/>
  <c r="AN73" i="1" s="1"/>
  <c r="AO73" i="1" s="1"/>
  <c r="AP73" i="1" s="1"/>
  <c r="AQ73" i="1" s="1"/>
  <c r="AR73" i="1" s="1"/>
  <c r="Z75" i="1"/>
  <c r="AA74" i="1" l="1"/>
  <c r="AB74" i="1" s="1"/>
  <c r="AC74" i="1" s="1"/>
  <c r="AD74" i="1" s="1"/>
  <c r="AE74" i="1" s="1"/>
  <c r="AF74" i="1" s="1"/>
  <c r="AG74" i="1" s="1"/>
  <c r="AH74" i="1" s="1"/>
  <c r="AI74" i="1" s="1"/>
  <c r="AJ74" i="1" s="1"/>
  <c r="AK74" i="1" s="1"/>
  <c r="AL74" i="1" s="1"/>
  <c r="AM74" i="1" s="1"/>
  <c r="AN74" i="1" s="1"/>
  <c r="AO74" i="1" s="1"/>
  <c r="AP74" i="1" s="1"/>
  <c r="AQ74" i="1" s="1"/>
  <c r="AR74" i="1" s="1"/>
  <c r="Z76" i="1"/>
  <c r="AA75" i="1" l="1"/>
  <c r="AB75" i="1" s="1"/>
  <c r="AC75" i="1" s="1"/>
  <c r="AD75" i="1" s="1"/>
  <c r="AE75" i="1" s="1"/>
  <c r="AF75" i="1" s="1"/>
  <c r="AG75" i="1" s="1"/>
  <c r="AH75" i="1" s="1"/>
  <c r="AI75" i="1" s="1"/>
  <c r="AJ75" i="1" s="1"/>
  <c r="AK75" i="1" s="1"/>
  <c r="AL75" i="1" s="1"/>
  <c r="AM75" i="1" s="1"/>
  <c r="AN75" i="1" s="1"/>
  <c r="AO75" i="1" s="1"/>
  <c r="AP75" i="1" s="1"/>
  <c r="AQ75" i="1" s="1"/>
  <c r="AR75" i="1" s="1"/>
  <c r="Z77" i="1"/>
  <c r="AA76" i="1" l="1"/>
  <c r="AB76" i="1" s="1"/>
  <c r="AC76" i="1" s="1"/>
  <c r="AD76" i="1" s="1"/>
  <c r="AE76" i="1" s="1"/>
  <c r="AF76" i="1" s="1"/>
  <c r="AG76" i="1" s="1"/>
  <c r="AH76" i="1" s="1"/>
  <c r="AI76" i="1" s="1"/>
  <c r="AJ76" i="1" s="1"/>
  <c r="AK76" i="1" s="1"/>
  <c r="AL76" i="1" s="1"/>
  <c r="AM76" i="1" s="1"/>
  <c r="AN76" i="1" s="1"/>
  <c r="AO76" i="1" s="1"/>
  <c r="AP76" i="1" s="1"/>
  <c r="AQ76" i="1" s="1"/>
  <c r="AR76" i="1" s="1"/>
  <c r="Z78" i="1"/>
  <c r="AA77" i="1" l="1"/>
  <c r="AB77" i="1" s="1"/>
  <c r="AC77" i="1" s="1"/>
  <c r="AD77" i="1" s="1"/>
  <c r="AE77" i="1" s="1"/>
  <c r="AF77" i="1" s="1"/>
  <c r="AG77" i="1" s="1"/>
  <c r="AH77" i="1" s="1"/>
  <c r="AI77" i="1" s="1"/>
  <c r="AJ77" i="1" s="1"/>
  <c r="AK77" i="1" s="1"/>
  <c r="AL77" i="1" s="1"/>
  <c r="AM77" i="1" s="1"/>
  <c r="AN77" i="1" s="1"/>
  <c r="AO77" i="1" s="1"/>
  <c r="AP77" i="1" s="1"/>
  <c r="AQ77" i="1" s="1"/>
  <c r="AR77" i="1" s="1"/>
  <c r="Z79" i="1"/>
  <c r="AA78" i="1" l="1"/>
  <c r="AB78" i="1" s="1"/>
  <c r="AC78" i="1" s="1"/>
  <c r="AD78" i="1" s="1"/>
  <c r="AE78" i="1" s="1"/>
  <c r="AF78" i="1" s="1"/>
  <c r="AG78" i="1" s="1"/>
  <c r="AH78" i="1" s="1"/>
  <c r="AI78" i="1" s="1"/>
  <c r="AJ78" i="1" s="1"/>
  <c r="AK78" i="1" s="1"/>
  <c r="AL78" i="1" s="1"/>
  <c r="AM78" i="1" s="1"/>
  <c r="AN78" i="1" s="1"/>
  <c r="AO78" i="1" s="1"/>
  <c r="AP78" i="1" s="1"/>
  <c r="AQ78" i="1" s="1"/>
  <c r="AR78" i="1" s="1"/>
  <c r="Z80" i="1"/>
  <c r="AA79" i="1" l="1"/>
  <c r="AB79" i="1" s="1"/>
  <c r="AC79" i="1" s="1"/>
  <c r="AD79" i="1" s="1"/>
  <c r="AE79" i="1" s="1"/>
  <c r="AF79" i="1" s="1"/>
  <c r="AG79" i="1" s="1"/>
  <c r="AH79" i="1" s="1"/>
  <c r="AI79" i="1" s="1"/>
  <c r="AJ79" i="1" s="1"/>
  <c r="AK79" i="1" s="1"/>
  <c r="AL79" i="1" s="1"/>
  <c r="AM79" i="1" s="1"/>
  <c r="AN79" i="1" s="1"/>
  <c r="AO79" i="1" s="1"/>
  <c r="AP79" i="1" s="1"/>
  <c r="AQ79" i="1" s="1"/>
  <c r="AR79" i="1" s="1"/>
  <c r="Z81" i="1"/>
  <c r="AA80" i="1" l="1"/>
  <c r="AB80" i="1" s="1"/>
  <c r="AC80" i="1" s="1"/>
  <c r="AD80" i="1" s="1"/>
  <c r="AE80" i="1" s="1"/>
  <c r="AF80" i="1" s="1"/>
  <c r="AG80" i="1" s="1"/>
  <c r="AH80" i="1" s="1"/>
  <c r="AI80" i="1" s="1"/>
  <c r="AJ80" i="1" s="1"/>
  <c r="AK80" i="1" s="1"/>
  <c r="AL80" i="1" s="1"/>
  <c r="AM80" i="1" s="1"/>
  <c r="AN80" i="1" s="1"/>
  <c r="AO80" i="1" s="1"/>
  <c r="AP80" i="1" s="1"/>
  <c r="AQ80" i="1" s="1"/>
  <c r="AR80" i="1" s="1"/>
  <c r="Z82" i="1"/>
  <c r="AA81" i="1" l="1"/>
  <c r="AB81" i="1" s="1"/>
  <c r="AC81" i="1" s="1"/>
  <c r="AD81" i="1" s="1"/>
  <c r="AE81" i="1" s="1"/>
  <c r="AF81" i="1" s="1"/>
  <c r="AG81" i="1" s="1"/>
  <c r="AH81" i="1" s="1"/>
  <c r="AI81" i="1" s="1"/>
  <c r="AJ81" i="1" s="1"/>
  <c r="AK81" i="1" s="1"/>
  <c r="AL81" i="1" s="1"/>
  <c r="AM81" i="1" s="1"/>
  <c r="AN81" i="1" s="1"/>
  <c r="AO81" i="1" s="1"/>
  <c r="AP81" i="1" s="1"/>
  <c r="AQ81" i="1" s="1"/>
  <c r="AR81" i="1" s="1"/>
  <c r="Z83" i="1"/>
  <c r="AA82" i="1" l="1"/>
  <c r="AB82" i="1" s="1"/>
  <c r="AC82" i="1" s="1"/>
  <c r="AD82" i="1" s="1"/>
  <c r="AE82" i="1" s="1"/>
  <c r="AF82" i="1" s="1"/>
  <c r="AG82" i="1" s="1"/>
  <c r="AH82" i="1" s="1"/>
  <c r="AI82" i="1" s="1"/>
  <c r="AJ82" i="1" s="1"/>
  <c r="AK82" i="1" s="1"/>
  <c r="AL82" i="1" s="1"/>
  <c r="AM82" i="1" s="1"/>
  <c r="AN82" i="1" s="1"/>
  <c r="AO82" i="1" s="1"/>
  <c r="AP82" i="1" s="1"/>
  <c r="AQ82" i="1" s="1"/>
  <c r="AR82" i="1" s="1"/>
  <c r="Z84" i="1"/>
  <c r="AA83" i="1" l="1"/>
  <c r="AB83" i="1" s="1"/>
  <c r="AC83" i="1" s="1"/>
  <c r="AD83" i="1" s="1"/>
  <c r="AE83" i="1" s="1"/>
  <c r="AF83" i="1" s="1"/>
  <c r="AG83" i="1" s="1"/>
  <c r="AH83" i="1" s="1"/>
  <c r="AI83" i="1" s="1"/>
  <c r="AJ83" i="1" s="1"/>
  <c r="AK83" i="1" s="1"/>
  <c r="AL83" i="1" s="1"/>
  <c r="AM83" i="1" s="1"/>
  <c r="AN83" i="1" s="1"/>
  <c r="AO83" i="1" s="1"/>
  <c r="AP83" i="1" s="1"/>
  <c r="AQ83" i="1" s="1"/>
  <c r="AR83" i="1" s="1"/>
  <c r="Z85" i="1"/>
  <c r="AA84" i="1" l="1"/>
  <c r="AB84" i="1" s="1"/>
  <c r="AC84" i="1" s="1"/>
  <c r="AD84" i="1" s="1"/>
  <c r="AE84" i="1" s="1"/>
  <c r="AF84" i="1" s="1"/>
  <c r="AG84" i="1" s="1"/>
  <c r="AH84" i="1" s="1"/>
  <c r="AI84" i="1" s="1"/>
  <c r="AJ84" i="1" s="1"/>
  <c r="AK84" i="1" s="1"/>
  <c r="AL84" i="1" s="1"/>
  <c r="AM84" i="1" s="1"/>
  <c r="AN84" i="1" s="1"/>
  <c r="AO84" i="1" s="1"/>
  <c r="AP84" i="1" s="1"/>
  <c r="AQ84" i="1" s="1"/>
  <c r="AR84" i="1" s="1"/>
  <c r="Z86" i="1"/>
  <c r="AA85" i="1" l="1"/>
  <c r="AB85" i="1" s="1"/>
  <c r="AC85" i="1" s="1"/>
  <c r="AD85" i="1" s="1"/>
  <c r="AE85" i="1" s="1"/>
  <c r="AF85" i="1" s="1"/>
  <c r="AG85" i="1" s="1"/>
  <c r="AH85" i="1" s="1"/>
  <c r="AI85" i="1" s="1"/>
  <c r="AJ85" i="1" s="1"/>
  <c r="AK85" i="1" s="1"/>
  <c r="AL85" i="1" s="1"/>
  <c r="AM85" i="1" s="1"/>
  <c r="AN85" i="1" s="1"/>
  <c r="AO85" i="1" s="1"/>
  <c r="AP85" i="1" s="1"/>
  <c r="AQ85" i="1" s="1"/>
  <c r="AR85" i="1" s="1"/>
  <c r="Z87" i="1"/>
  <c r="AA86" i="1" l="1"/>
  <c r="AB86" i="1" s="1"/>
  <c r="AC86" i="1" s="1"/>
  <c r="AD86" i="1" s="1"/>
  <c r="AE86" i="1" s="1"/>
  <c r="AF86" i="1" s="1"/>
  <c r="AG86" i="1" s="1"/>
  <c r="AH86" i="1" s="1"/>
  <c r="AI86" i="1" s="1"/>
  <c r="AJ86" i="1" s="1"/>
  <c r="AK86" i="1" s="1"/>
  <c r="AL86" i="1" s="1"/>
  <c r="AM86" i="1" s="1"/>
  <c r="AN86" i="1" s="1"/>
  <c r="AO86" i="1" s="1"/>
  <c r="AP86" i="1" s="1"/>
  <c r="AQ86" i="1" s="1"/>
  <c r="AR86" i="1" s="1"/>
  <c r="Z88" i="1"/>
  <c r="AA87" i="1" l="1"/>
  <c r="AB87" i="1" s="1"/>
  <c r="AC87" i="1" s="1"/>
  <c r="AD87" i="1" s="1"/>
  <c r="AE87" i="1" s="1"/>
  <c r="AF87" i="1" s="1"/>
  <c r="AG87" i="1" s="1"/>
  <c r="AH87" i="1" s="1"/>
  <c r="AI87" i="1" s="1"/>
  <c r="AJ87" i="1" s="1"/>
  <c r="AK87" i="1" s="1"/>
  <c r="AL87" i="1" s="1"/>
  <c r="AM87" i="1" s="1"/>
  <c r="AN87" i="1" s="1"/>
  <c r="AO87" i="1" s="1"/>
  <c r="AP87" i="1" s="1"/>
  <c r="AQ87" i="1" s="1"/>
  <c r="AR87" i="1" s="1"/>
  <c r="Z89" i="1"/>
  <c r="AA88" i="1" l="1"/>
  <c r="AB88" i="1" s="1"/>
  <c r="AC88" i="1" s="1"/>
  <c r="AD88" i="1" s="1"/>
  <c r="AE88" i="1" s="1"/>
  <c r="AF88" i="1" s="1"/>
  <c r="AG88" i="1" s="1"/>
  <c r="AH88" i="1" s="1"/>
  <c r="AI88" i="1" s="1"/>
  <c r="AJ88" i="1" s="1"/>
  <c r="AK88" i="1" s="1"/>
  <c r="AL88" i="1" s="1"/>
  <c r="AM88" i="1" s="1"/>
  <c r="AN88" i="1" s="1"/>
  <c r="AO88" i="1" s="1"/>
  <c r="AP88" i="1" s="1"/>
  <c r="AQ88" i="1" s="1"/>
  <c r="AR88" i="1" s="1"/>
  <c r="Z90" i="1"/>
  <c r="AA89" i="1" l="1"/>
  <c r="AB89" i="1" s="1"/>
  <c r="AC89" i="1" s="1"/>
  <c r="AD89" i="1" s="1"/>
  <c r="AE89" i="1" s="1"/>
  <c r="AF89" i="1" s="1"/>
  <c r="AG89" i="1" s="1"/>
  <c r="AH89" i="1" s="1"/>
  <c r="AI89" i="1" s="1"/>
  <c r="AJ89" i="1" s="1"/>
  <c r="AK89" i="1" s="1"/>
  <c r="AL89" i="1" s="1"/>
  <c r="AM89" i="1" s="1"/>
  <c r="AN89" i="1" s="1"/>
  <c r="AO89" i="1" s="1"/>
  <c r="AP89" i="1" s="1"/>
  <c r="AQ89" i="1" s="1"/>
  <c r="AR89" i="1" s="1"/>
  <c r="Z91" i="1"/>
  <c r="AA90" i="1" l="1"/>
  <c r="AB90" i="1" s="1"/>
  <c r="AC90" i="1" s="1"/>
  <c r="AD90" i="1" s="1"/>
  <c r="AE90" i="1" s="1"/>
  <c r="AF90" i="1" s="1"/>
  <c r="AG90" i="1" s="1"/>
  <c r="AH90" i="1" s="1"/>
  <c r="AI90" i="1" s="1"/>
  <c r="AJ90" i="1" s="1"/>
  <c r="AK90" i="1" s="1"/>
  <c r="AL90" i="1" s="1"/>
  <c r="AM90" i="1" s="1"/>
  <c r="AN90" i="1" s="1"/>
  <c r="AO90" i="1" s="1"/>
  <c r="AP90" i="1" s="1"/>
  <c r="AQ90" i="1" s="1"/>
  <c r="AR90" i="1" s="1"/>
  <c r="Z92" i="1"/>
  <c r="AA91" i="1" l="1"/>
  <c r="AB91" i="1" s="1"/>
  <c r="AC91" i="1" s="1"/>
  <c r="AD91" i="1" s="1"/>
  <c r="AE91" i="1" s="1"/>
  <c r="AF91" i="1" s="1"/>
  <c r="AG91" i="1" s="1"/>
  <c r="AH91" i="1" s="1"/>
  <c r="AI91" i="1" s="1"/>
  <c r="AJ91" i="1" s="1"/>
  <c r="AK91" i="1" s="1"/>
  <c r="AL91" i="1" s="1"/>
  <c r="AM91" i="1" s="1"/>
  <c r="AN91" i="1" s="1"/>
  <c r="AO91" i="1" s="1"/>
  <c r="AP91" i="1" s="1"/>
  <c r="AQ91" i="1" s="1"/>
  <c r="AR91" i="1" s="1"/>
  <c r="Z93" i="1"/>
  <c r="AA92" i="1" l="1"/>
  <c r="AB92" i="1" s="1"/>
  <c r="AC92" i="1" s="1"/>
  <c r="AD92" i="1" s="1"/>
  <c r="AE92" i="1" s="1"/>
  <c r="AF92" i="1" s="1"/>
  <c r="AG92" i="1" s="1"/>
  <c r="AH92" i="1" s="1"/>
  <c r="AI92" i="1" s="1"/>
  <c r="AJ92" i="1" s="1"/>
  <c r="AK92" i="1" s="1"/>
  <c r="AL92" i="1" s="1"/>
  <c r="AM92" i="1" s="1"/>
  <c r="AN92" i="1" s="1"/>
  <c r="AO92" i="1" s="1"/>
  <c r="AP92" i="1" s="1"/>
  <c r="AQ92" i="1" s="1"/>
  <c r="AR92" i="1" s="1"/>
  <c r="Z94" i="1"/>
  <c r="AA93" i="1" l="1"/>
  <c r="AB93" i="1" s="1"/>
  <c r="AC93" i="1" s="1"/>
  <c r="AD93" i="1" s="1"/>
  <c r="AE93" i="1" s="1"/>
  <c r="AF93" i="1" s="1"/>
  <c r="AG93" i="1" s="1"/>
  <c r="AH93" i="1" s="1"/>
  <c r="AI93" i="1" s="1"/>
  <c r="AJ93" i="1" s="1"/>
  <c r="AK93" i="1" s="1"/>
  <c r="AL93" i="1" s="1"/>
  <c r="AM93" i="1" s="1"/>
  <c r="AN93" i="1" s="1"/>
  <c r="AO93" i="1" s="1"/>
  <c r="AP93" i="1" s="1"/>
  <c r="AQ93" i="1" s="1"/>
  <c r="AR93" i="1" s="1"/>
  <c r="Z95" i="1"/>
  <c r="AA94" i="1" l="1"/>
  <c r="AB94" i="1" s="1"/>
  <c r="AC94" i="1" s="1"/>
  <c r="AD94" i="1" s="1"/>
  <c r="AE94" i="1" s="1"/>
  <c r="AF94" i="1" s="1"/>
  <c r="AG94" i="1" s="1"/>
  <c r="AH94" i="1" s="1"/>
  <c r="AI94" i="1" s="1"/>
  <c r="AJ94" i="1" s="1"/>
  <c r="AK94" i="1" s="1"/>
  <c r="AL94" i="1" s="1"/>
  <c r="AM94" i="1" s="1"/>
  <c r="AN94" i="1" s="1"/>
  <c r="AO94" i="1" s="1"/>
  <c r="AP94" i="1" s="1"/>
  <c r="AQ94" i="1" s="1"/>
  <c r="AR94" i="1" s="1"/>
  <c r="Z96" i="1"/>
  <c r="AA95" i="1" l="1"/>
  <c r="AB95" i="1" s="1"/>
  <c r="AC95" i="1" s="1"/>
  <c r="AD95" i="1" s="1"/>
  <c r="AE95" i="1" s="1"/>
  <c r="AF95" i="1" s="1"/>
  <c r="AG95" i="1" s="1"/>
  <c r="AH95" i="1" s="1"/>
  <c r="AI95" i="1" s="1"/>
  <c r="AJ95" i="1" s="1"/>
  <c r="AK95" i="1" s="1"/>
  <c r="AL95" i="1" s="1"/>
  <c r="AM95" i="1" s="1"/>
  <c r="AN95" i="1" s="1"/>
  <c r="AO95" i="1" s="1"/>
  <c r="AP95" i="1" s="1"/>
  <c r="AQ95" i="1" s="1"/>
  <c r="AR95" i="1" s="1"/>
  <c r="Z97" i="1"/>
  <c r="AA96" i="1" l="1"/>
  <c r="AB96" i="1" s="1"/>
  <c r="AC96" i="1" s="1"/>
  <c r="AD96" i="1" s="1"/>
  <c r="AE96" i="1" s="1"/>
  <c r="AF96" i="1" s="1"/>
  <c r="AG96" i="1" s="1"/>
  <c r="AH96" i="1" s="1"/>
  <c r="AI96" i="1" s="1"/>
  <c r="AJ96" i="1" s="1"/>
  <c r="AK96" i="1" s="1"/>
  <c r="AL96" i="1" s="1"/>
  <c r="AM96" i="1" s="1"/>
  <c r="AN96" i="1" s="1"/>
  <c r="AO96" i="1" s="1"/>
  <c r="AP96" i="1" s="1"/>
  <c r="AQ96" i="1" s="1"/>
  <c r="AR96" i="1" s="1"/>
  <c r="Z98" i="1"/>
  <c r="AA97" i="1" l="1"/>
  <c r="AB97" i="1" s="1"/>
  <c r="AC97" i="1" s="1"/>
  <c r="AD97" i="1" s="1"/>
  <c r="AE97" i="1" s="1"/>
  <c r="AF97" i="1" s="1"/>
  <c r="AG97" i="1" s="1"/>
  <c r="AH97" i="1" s="1"/>
  <c r="AI97" i="1" s="1"/>
  <c r="AJ97" i="1" s="1"/>
  <c r="AK97" i="1" s="1"/>
  <c r="AL97" i="1" s="1"/>
  <c r="AM97" i="1" s="1"/>
  <c r="AN97" i="1" s="1"/>
  <c r="AO97" i="1" s="1"/>
  <c r="AP97" i="1" s="1"/>
  <c r="AQ97" i="1" s="1"/>
  <c r="AR97" i="1" s="1"/>
  <c r="Z99" i="1"/>
  <c r="AA98" i="1" l="1"/>
  <c r="AB98" i="1" s="1"/>
  <c r="AC98" i="1" s="1"/>
  <c r="AD98" i="1" s="1"/>
  <c r="AE98" i="1" s="1"/>
  <c r="AF98" i="1" s="1"/>
  <c r="AG98" i="1" s="1"/>
  <c r="AH98" i="1" s="1"/>
  <c r="AI98" i="1" s="1"/>
  <c r="AJ98" i="1" s="1"/>
  <c r="AK98" i="1" s="1"/>
  <c r="AL98" i="1" s="1"/>
  <c r="AM98" i="1" s="1"/>
  <c r="AN98" i="1" s="1"/>
  <c r="AO98" i="1" s="1"/>
  <c r="AP98" i="1" s="1"/>
  <c r="AQ98" i="1" s="1"/>
  <c r="AR98" i="1" s="1"/>
  <c r="Z100" i="1"/>
  <c r="AA99" i="1" l="1"/>
  <c r="AB99" i="1" s="1"/>
  <c r="AC99" i="1" s="1"/>
  <c r="AD99" i="1" s="1"/>
  <c r="AE99" i="1" s="1"/>
  <c r="AF99" i="1" s="1"/>
  <c r="AG99" i="1" s="1"/>
  <c r="AH99" i="1" s="1"/>
  <c r="AI99" i="1" s="1"/>
  <c r="AJ99" i="1" s="1"/>
  <c r="AK99" i="1" s="1"/>
  <c r="AL99" i="1" s="1"/>
  <c r="AM99" i="1" s="1"/>
  <c r="AN99" i="1" s="1"/>
  <c r="AO99" i="1" s="1"/>
  <c r="AP99" i="1" s="1"/>
  <c r="AQ99" i="1" s="1"/>
  <c r="AR99" i="1" s="1"/>
  <c r="Z101" i="1"/>
  <c r="AA100" i="1" l="1"/>
  <c r="AB100" i="1" s="1"/>
  <c r="AC100" i="1" s="1"/>
  <c r="AD100" i="1" s="1"/>
  <c r="AE100" i="1" s="1"/>
  <c r="AF100" i="1" s="1"/>
  <c r="AG100" i="1" s="1"/>
  <c r="AH100" i="1" s="1"/>
  <c r="AI100" i="1" s="1"/>
  <c r="AJ100" i="1" s="1"/>
  <c r="AK100" i="1" s="1"/>
  <c r="AL100" i="1" s="1"/>
  <c r="AM100" i="1" s="1"/>
  <c r="AN100" i="1" s="1"/>
  <c r="AO100" i="1" s="1"/>
  <c r="AP100" i="1" s="1"/>
  <c r="AQ100" i="1" s="1"/>
  <c r="AR100" i="1" s="1"/>
  <c r="Z102" i="1"/>
  <c r="AA101" i="1" l="1"/>
  <c r="AB101" i="1" s="1"/>
  <c r="AC101" i="1" s="1"/>
  <c r="AD101" i="1" s="1"/>
  <c r="AE101" i="1" s="1"/>
  <c r="AF101" i="1" s="1"/>
  <c r="AG101" i="1" s="1"/>
  <c r="AH101" i="1" s="1"/>
  <c r="AI101" i="1" s="1"/>
  <c r="AJ101" i="1" s="1"/>
  <c r="AK101" i="1" s="1"/>
  <c r="AL101" i="1" s="1"/>
  <c r="AM101" i="1" s="1"/>
  <c r="AN101" i="1" s="1"/>
  <c r="AO101" i="1" s="1"/>
  <c r="AP101" i="1" s="1"/>
  <c r="AQ101" i="1" s="1"/>
  <c r="AR101" i="1" s="1"/>
  <c r="AA102" i="1" l="1"/>
  <c r="AB102" i="1" s="1"/>
  <c r="AC102" i="1" s="1"/>
  <c r="AD102" i="1" s="1"/>
  <c r="AE102" i="1" s="1"/>
  <c r="AF102" i="1" s="1"/>
  <c r="AG102" i="1" s="1"/>
  <c r="AH102" i="1" s="1"/>
  <c r="AI102" i="1" s="1"/>
  <c r="AJ102" i="1" s="1"/>
  <c r="AK102" i="1" s="1"/>
  <c r="AL102" i="1" s="1"/>
  <c r="AM102" i="1" s="1"/>
  <c r="AN102" i="1" s="1"/>
  <c r="AO102" i="1" s="1"/>
  <c r="AP102" i="1" s="1"/>
  <c r="AQ102" i="1" s="1"/>
  <c r="AR102" i="1" s="1"/>
  <c r="AZ3" i="1" l="1"/>
  <c r="AZ254" i="1" s="1"/>
  <c r="BA3" i="1" s="1"/>
  <c r="BB3" i="1" s="1"/>
  <c r="BA199" i="1" l="1"/>
  <c r="BA127" i="1"/>
  <c r="BA177" i="1"/>
  <c r="BA215" i="1"/>
  <c r="BA125" i="1"/>
  <c r="BA193" i="1"/>
  <c r="BA119" i="1"/>
  <c r="BA175" i="1"/>
  <c r="BA245" i="1"/>
  <c r="BA161" i="1"/>
  <c r="BA247" i="1"/>
  <c r="BA171" i="1"/>
  <c r="BA116" i="1"/>
  <c r="BA132" i="1"/>
  <c r="BA148" i="1"/>
  <c r="BA164" i="1"/>
  <c r="BA180" i="1"/>
  <c r="BA196" i="1"/>
  <c r="BA212" i="1"/>
  <c r="BA228" i="1"/>
  <c r="BA19" i="1"/>
  <c r="BA35" i="1"/>
  <c r="BA118" i="1"/>
  <c r="BA134" i="1"/>
  <c r="BA150" i="1"/>
  <c r="BA166" i="1"/>
  <c r="BA182" i="1"/>
  <c r="BA198" i="1"/>
  <c r="BA13" i="1"/>
  <c r="BA29" i="1"/>
  <c r="BA12" i="1"/>
  <c r="BA89" i="1"/>
  <c r="BA63" i="1"/>
  <c r="BA232" i="1"/>
  <c r="BA240" i="1"/>
  <c r="BA248" i="1"/>
  <c r="BA14" i="1"/>
  <c r="BA42" i="1"/>
  <c r="BA58" i="1"/>
  <c r="BA74" i="1"/>
  <c r="BA90" i="1"/>
  <c r="BA210" i="1"/>
  <c r="BA39" i="1"/>
  <c r="BA99" i="1"/>
  <c r="BA71" i="1"/>
  <c r="BA26" i="1"/>
  <c r="BA48" i="1"/>
  <c r="BA64" i="1"/>
  <c r="BA80" i="1"/>
  <c r="BA96" i="1"/>
  <c r="BA4" i="1"/>
  <c r="BB4" i="1" s="1"/>
  <c r="BA41" i="1"/>
  <c r="BA61" i="1"/>
  <c r="BA85" i="1"/>
  <c r="BA59" i="1"/>
  <c r="BA251" i="1"/>
  <c r="BA165" i="1"/>
  <c r="BA211" i="1"/>
  <c r="BA179" i="1"/>
  <c r="BA207" i="1"/>
  <c r="BA137" i="1"/>
  <c r="BA213" i="1"/>
  <c r="BA135" i="1"/>
  <c r="BA100" i="1"/>
  <c r="BA45" i="1"/>
  <c r="BA65" i="1"/>
  <c r="BA75" i="1"/>
  <c r="BA185" i="1"/>
  <c r="BA217" i="1"/>
  <c r="BA237" i="1"/>
  <c r="BA239" i="1"/>
  <c r="BA206" i="1"/>
  <c r="BA73" i="1"/>
  <c r="BA101" i="1"/>
  <c r="BA205" i="1"/>
  <c r="BA183" i="1"/>
  <c r="BA169" i="1"/>
  <c r="BA143" i="1"/>
  <c r="BA107" i="1"/>
  <c r="BA201" i="1"/>
  <c r="BA141" i="1"/>
  <c r="BA221" i="1"/>
  <c r="BA139" i="1"/>
  <c r="BA209" i="1"/>
  <c r="BA113" i="1"/>
  <c r="BA181" i="1"/>
  <c r="BA103" i="1"/>
  <c r="BA104" i="1"/>
  <c r="BA120" i="1"/>
  <c r="BA136" i="1"/>
  <c r="BA152" i="1"/>
  <c r="BA168" i="1"/>
  <c r="BA184" i="1"/>
  <c r="BA200" i="1"/>
  <c r="BA216" i="1"/>
  <c r="BA7" i="1"/>
  <c r="BA23" i="1"/>
  <c r="BA106" i="1"/>
  <c r="BA122" i="1"/>
  <c r="BA138" i="1"/>
  <c r="BA154" i="1"/>
  <c r="BA170" i="1"/>
  <c r="BA186" i="1"/>
  <c r="BA202" i="1"/>
  <c r="BA17" i="1"/>
  <c r="BA33" i="1"/>
  <c r="BA53" i="1"/>
  <c r="BA97" i="1"/>
  <c r="BA79" i="1"/>
  <c r="BA234" i="1"/>
  <c r="BA242" i="1"/>
  <c r="BA250" i="1"/>
  <c r="BA22" i="1"/>
  <c r="BA46" i="1"/>
  <c r="BA62" i="1"/>
  <c r="BA78" i="1"/>
  <c r="BA94" i="1"/>
  <c r="BA218" i="1"/>
  <c r="BA55" i="1"/>
  <c r="BA8" i="1"/>
  <c r="BA95" i="1"/>
  <c r="BA34" i="1"/>
  <c r="BA52" i="1"/>
  <c r="BA68" i="1"/>
  <c r="BA84" i="1"/>
  <c r="BA20" i="1"/>
  <c r="BA93" i="1"/>
  <c r="BA117" i="1"/>
  <c r="BA111" i="1"/>
  <c r="BA153" i="1"/>
  <c r="BA155" i="1"/>
  <c r="BA28" i="1"/>
  <c r="BA133" i="1"/>
  <c r="BA105" i="1"/>
  <c r="BA187" i="1"/>
  <c r="BA225" i="1"/>
  <c r="BA167" i="1"/>
  <c r="BA241" i="1"/>
  <c r="BA157" i="1"/>
  <c r="BA243" i="1"/>
  <c r="BA163" i="1"/>
  <c r="BA223" i="1"/>
  <c r="BA129" i="1"/>
  <c r="BA197" i="1"/>
  <c r="BA123" i="1"/>
  <c r="BA108" i="1"/>
  <c r="BA124" i="1"/>
  <c r="BA140" i="1"/>
  <c r="BA156" i="1"/>
  <c r="BA172" i="1"/>
  <c r="BA188" i="1"/>
  <c r="BA204" i="1"/>
  <c r="BA220" i="1"/>
  <c r="BA11" i="1"/>
  <c r="BA27" i="1"/>
  <c r="BA110" i="1"/>
  <c r="BA126" i="1"/>
  <c r="BA142" i="1"/>
  <c r="BA158" i="1"/>
  <c r="BA174" i="1"/>
  <c r="BA190" i="1"/>
  <c r="BA5" i="1"/>
  <c r="BA21" i="1"/>
  <c r="BA37" i="1"/>
  <c r="BA69" i="1"/>
  <c r="BA32" i="1"/>
  <c r="BA91" i="1"/>
  <c r="BA236" i="1"/>
  <c r="BA244" i="1"/>
  <c r="BA252" i="1"/>
  <c r="BA30" i="1"/>
  <c r="BA50" i="1"/>
  <c r="BA66" i="1"/>
  <c r="BA82" i="1"/>
  <c r="BA98" i="1"/>
  <c r="BA226" i="1"/>
  <c r="BA67" i="1"/>
  <c r="BA24" i="1"/>
  <c r="BA10" i="1"/>
  <c r="BA40" i="1"/>
  <c r="BA56" i="1"/>
  <c r="BA72" i="1"/>
  <c r="BA88" i="1"/>
  <c r="BA49" i="1"/>
  <c r="BA87" i="1"/>
  <c r="BA131" i="1"/>
  <c r="BA219" i="1"/>
  <c r="BA195" i="1"/>
  <c r="BA203" i="1"/>
  <c r="BA109" i="1"/>
  <c r="BA173" i="1"/>
  <c r="BA227" i="1"/>
  <c r="BA191" i="1"/>
  <c r="BA229" i="1"/>
  <c r="BA145" i="1"/>
  <c r="BA231" i="1"/>
  <c r="BA147" i="1"/>
  <c r="BA112" i="1"/>
  <c r="BA128" i="1"/>
  <c r="BA144" i="1"/>
  <c r="BA160" i="1"/>
  <c r="BA176" i="1"/>
  <c r="BA192" i="1"/>
  <c r="BA208" i="1"/>
  <c r="BA224" i="1"/>
  <c r="BA15" i="1"/>
  <c r="BA31" i="1"/>
  <c r="BA114" i="1"/>
  <c r="BA130" i="1"/>
  <c r="BA146" i="1"/>
  <c r="BA162" i="1"/>
  <c r="BA178" i="1"/>
  <c r="BA194" i="1"/>
  <c r="BA9" i="1"/>
  <c r="BA25" i="1"/>
  <c r="BA222" i="1"/>
  <c r="BA81" i="1"/>
  <c r="BA47" i="1"/>
  <c r="BA230" i="1"/>
  <c r="BA238" i="1"/>
  <c r="BA246" i="1"/>
  <c r="BA6" i="1"/>
  <c r="BA38" i="1"/>
  <c r="BA54" i="1"/>
  <c r="BA70" i="1"/>
  <c r="BA86" i="1"/>
  <c r="BA102" i="1"/>
  <c r="BA16" i="1"/>
  <c r="BA83" i="1"/>
  <c r="BA51" i="1"/>
  <c r="BA18" i="1"/>
  <c r="BA44" i="1"/>
  <c r="BA60" i="1"/>
  <c r="BA76" i="1"/>
  <c r="BA92" i="1"/>
  <c r="BA214" i="1"/>
  <c r="BA36" i="1"/>
  <c r="BA57" i="1"/>
  <c r="BA77" i="1"/>
  <c r="BA43" i="1"/>
  <c r="BA233" i="1"/>
  <c r="BA149" i="1"/>
  <c r="BA235" i="1"/>
  <c r="BA151" i="1"/>
  <c r="BA159" i="1"/>
  <c r="BA121" i="1"/>
  <c r="BA189" i="1"/>
  <c r="BA115" i="1"/>
  <c r="BA249" i="1"/>
  <c r="BB5" i="1" l="1"/>
  <c r="BB6" i="1" s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B120" i="1" s="1"/>
  <c r="BB121" i="1" s="1"/>
  <c r="BB122" i="1" s="1"/>
  <c r="BB123" i="1" s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</calcChain>
</file>

<file path=xl/sharedStrings.xml><?xml version="1.0" encoding="utf-8"?>
<sst xmlns="http://schemas.openxmlformats.org/spreadsheetml/2006/main" count="72" uniqueCount="38">
  <si>
    <t>Zadanie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</si>
  <si>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</si>
  <si>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</si>
  <si>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</si>
  <si>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</si>
  <si>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</si>
  <si>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</si>
  <si>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</si>
  <si>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</si>
  <si>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</si>
  <si>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</si>
  <si>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</si>
  <si>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</si>
  <si>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</si>
  <si>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</si>
  <si>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</si>
  <si>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</si>
  <si>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</si>
  <si>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</si>
  <si>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</si>
  <si>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</si>
  <si>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Dystrybuanta</t>
  </si>
  <si>
    <t>Nr Osobnika</t>
  </si>
  <si>
    <t>Suma</t>
  </si>
  <si>
    <t>suma calosci/suma zd</t>
  </si>
  <si>
    <t>Prawdopodobienstwo</t>
  </si>
  <si>
    <t>Rodzic</t>
  </si>
  <si>
    <t xml:space="preserve">krzyzowka </t>
  </si>
  <si>
    <t>Ruletka + PMX</t>
  </si>
  <si>
    <t>Turniej + op los  zuz</t>
  </si>
  <si>
    <t>l. losowa</t>
  </si>
  <si>
    <t>Nr osobnika</t>
  </si>
  <si>
    <t xml:space="preserve">Potomek </t>
  </si>
  <si>
    <t>l.losowa</t>
  </si>
  <si>
    <t>Mutacja</t>
  </si>
  <si>
    <t>Posortowana suma</t>
  </si>
  <si>
    <t>najlepszy</t>
  </si>
  <si>
    <t>min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</si>
</sst>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2" xfId="0" applyFill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123825</xdr:colOff>
          <xdr:row>2</xdr:row>
          <xdr:rowOff>95250</xdr:rowOff>
        </xdr:from>
        <xdr:to>
          <xdr:col>48</xdr:col>
          <xdr:colOff>66675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Ruletka i PMX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114300</xdr:colOff>
          <xdr:row>8</xdr:row>
          <xdr:rowOff>47625</xdr:rowOff>
        </xdr:from>
        <xdr:to>
          <xdr:col>48</xdr:col>
          <xdr:colOff>28575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Turniej i op los z uzup.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Y973"/>
  <sheetViews>
    <sheetView tabSelected="1" topLeftCell="AP50" workbookViewId="0">
      <selection activeCell="BR76" sqref="BR76"/>
    </sheetView>
  </sheetViews>
  <sheetFormatPr defaultRowHeight="15" x14ac:dyDescent="0.25"/>
  <cols>
    <col min="59" max="59" width="9.140625" style="5"/>
    <col min="63" max="63" width="9.140625" style="5"/>
  </cols>
  <sheetData>
    <row r="1" spans="1:77" x14ac:dyDescent="0.25">
      <c r="BB1" t="s">
        <v>21</v>
      </c>
      <c r="BE1" s="6" t="s">
        <v>26</v>
      </c>
      <c r="BF1" s="7"/>
      <c r="BG1" s="3"/>
      <c r="BH1" s="8" t="s">
        <v>27</v>
      </c>
      <c r="BI1" s="6"/>
      <c r="BJ1" s="7"/>
      <c r="BK1" s="3"/>
      <c r="BN1" s="6" t="s">
        <v>28</v>
      </c>
      <c r="BO1" s="6"/>
      <c r="BP1" s="6"/>
      <c r="BQ1" s="6"/>
      <c r="BR1" s="6"/>
      <c r="BS1" s="6"/>
      <c r="BT1" s="6" t="s">
        <v>29</v>
      </c>
      <c r="BU1" s="6"/>
      <c r="BV1" s="6"/>
      <c r="BW1" s="6"/>
      <c r="BX1" s="6"/>
      <c r="BY1" s="6"/>
    </row>
    <row r="2" spans="1:7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H2" t="s">
        <v>10</v>
      </c>
      <c r="AI2" t="s">
        <v>11</v>
      </c>
      <c r="AJ2" t="s">
        <v>12</v>
      </c>
      <c r="AK2" t="s">
        <v>13</v>
      </c>
      <c r="AL2" t="s">
        <v>14</v>
      </c>
      <c r="AM2" t="s">
        <v>15</v>
      </c>
      <c r="AN2" t="s">
        <v>16</v>
      </c>
      <c r="AO2" t="s">
        <v>17</v>
      </c>
      <c r="AP2" t="s">
        <v>18</v>
      </c>
      <c r="AQ2" t="s">
        <v>19</v>
      </c>
      <c r="AR2" t="s">
        <v>20</v>
      </c>
      <c r="AX2" t="s">
        <v>22</v>
      </c>
      <c r="AY2" t="s">
        <v>23</v>
      </c>
      <c r="AZ2" t="s">
        <v>24</v>
      </c>
      <c r="BA2" t="s">
        <v>25</v>
      </c>
      <c r="BB2">
        <f>0</f>
        <v>0</v>
      </c>
      <c r="BD2" t="s">
        <v>30</v>
      </c>
      <c r="BE2" t="s">
        <v>31</v>
      </c>
      <c r="BF2" t="s">
        <v>23</v>
      </c>
      <c r="BG2" s="3" t="s">
        <v>32</v>
      </c>
      <c r="BH2" t="s">
        <v>23</v>
      </c>
      <c r="BI2" t="s">
        <v>33</v>
      </c>
      <c r="BJ2" t="s">
        <v>34</v>
      </c>
      <c r="BK2" s="3" t="s">
        <v>32</v>
      </c>
      <c r="BL2" t="s">
        <v>35</v>
      </c>
      <c r="BN2" t="s">
        <v>36</v>
      </c>
      <c r="BO2" t="s">
        <v>37</v>
      </c>
      <c r="BP2" t="s">
        <v>36</v>
      </c>
      <c r="BQ2" t="s">
        <v>37</v>
      </c>
      <c r="BR2" t="s">
        <v>36</v>
      </c>
      <c r="BS2" t="s">
        <v>37</v>
      </c>
      <c r="BT2" t="s">
        <v>36</v>
      </c>
      <c r="BU2" t="s">
        <v>37</v>
      </c>
      <c r="BV2" t="s">
        <v>36</v>
      </c>
      <c r="BW2" t="s">
        <v>37</v>
      </c>
      <c r="BX2" t="s">
        <v>36</v>
      </c>
      <c r="BY2" t="s">
        <v>37</v>
      </c>
    </row>
    <row r="3" spans="1:77" x14ac:dyDescent="0.25">
      <c r="A3">
        <v>1</v>
      </c>
      <c r="B3">
        <v>28</v>
      </c>
      <c r="C3">
        <v>54</v>
      </c>
      <c r="D3">
        <v>92</v>
      </c>
      <c r="E3">
        <v>60</v>
      </c>
      <c r="F3">
        <v>44</v>
      </c>
      <c r="G3">
        <v>27</v>
      </c>
      <c r="H3">
        <v>67</v>
      </c>
      <c r="I3">
        <v>74</v>
      </c>
      <c r="J3">
        <v>67</v>
      </c>
      <c r="K3">
        <v>58</v>
      </c>
      <c r="L3">
        <v>39</v>
      </c>
      <c r="M3">
        <v>10</v>
      </c>
      <c r="N3">
        <v>20</v>
      </c>
      <c r="O3">
        <v>96</v>
      </c>
      <c r="P3">
        <v>34</v>
      </c>
      <c r="Q3">
        <v>87</v>
      </c>
      <c r="R3">
        <v>45</v>
      </c>
      <c r="S3">
        <v>62</v>
      </c>
      <c r="T3">
        <v>15</v>
      </c>
      <c r="U3">
        <v>29</v>
      </c>
      <c r="X3">
        <v>1</v>
      </c>
      <c r="Y3">
        <f>VLOOKUP($X3,$A$3:$U$102,2,FALSE)</f>
        <v>28</v>
      </c>
      <c r="Z3">
        <f>Y3+VLOOKUP($X3,$A$3:$U$102,3,FALSE)</f>
        <v>82</v>
      </c>
      <c r="AA3">
        <f>Z3+VLOOKUP($X3,$A$3:$U$102,4,FALSE)</f>
        <v>174</v>
      </c>
      <c r="AB3">
        <f>AA3+VLOOKUP($X3,$A$3:$U$102,5,FALSE)</f>
        <v>234</v>
      </c>
      <c r="AC3">
        <f>AB3+VLOOKUP($X3,$A$3:$U$102,6,FALSE)</f>
        <v>278</v>
      </c>
      <c r="AD3">
        <f>AC3+VLOOKUP($X3,$A$3:$U$102,7,FALSE)</f>
        <v>305</v>
      </c>
      <c r="AE3">
        <f>AD3+VLOOKUP($X3,$A$3:$U$102,8,FALSE)</f>
        <v>372</v>
      </c>
      <c r="AF3">
        <f>AE3+VLOOKUP($X3,$A$3:$U$102,9,FALSE)</f>
        <v>446</v>
      </c>
      <c r="AG3">
        <f>AF3+VLOOKUP($X3,$A$3:$U$102,10,FALSE)</f>
        <v>513</v>
      </c>
      <c r="AH3">
        <f>AG3+VLOOKUP($X3,$A$3:$U$102,11,FALSE)</f>
        <v>571</v>
      </c>
      <c r="AI3">
        <f>AH3+VLOOKUP($X3,$A$3:$U$102,12,FALSE)</f>
        <v>610</v>
      </c>
      <c r="AJ3">
        <f>AI3+VLOOKUP($X3,$A$3:$U$102,13,FALSE)</f>
        <v>620</v>
      </c>
      <c r="AK3">
        <f>AJ3+VLOOKUP($X3,$A$3:$U$102,14,FALSE)</f>
        <v>640</v>
      </c>
      <c r="AL3">
        <f>AK3+VLOOKUP($X3,$A$3:$U$102,15,FALSE)</f>
        <v>736</v>
      </c>
      <c r="AM3">
        <f>AL3+VLOOKUP($X3,$A$3:$U$102,16,FALSE)</f>
        <v>770</v>
      </c>
      <c r="AN3">
        <f>AM3+VLOOKUP($X3,$A$3:$U$102,17,FALSE)</f>
        <v>857</v>
      </c>
      <c r="AO3">
        <f>AN3+VLOOKUP($X3,$A$3:$U$102,18,FALSE)</f>
        <v>902</v>
      </c>
      <c r="AP3">
        <f>AO3+VLOOKUP($X3,$A$3:$U$102,19,FALSE)</f>
        <v>964</v>
      </c>
      <c r="AQ3">
        <f>AP3+VLOOKUP($X3,$A$3:$U$102,20,FALSE)</f>
        <v>979</v>
      </c>
      <c r="AR3">
        <f>AQ3+VLOOKUP($X3,$A$3:$U$102,21,FALSE)</f>
        <v>1008</v>
      </c>
      <c r="AX3">
        <v>1</v>
      </c>
      <c r="AY3">
        <v>7695</v>
      </c>
      <c r="AZ3">
        <f>$AY$254/AY3</f>
        <v>253.90708252111762</v>
      </c>
      <c r="BA3">
        <f>AZ3/$AZ$254</f>
        <v>4.0610872695476608E-3</v>
      </c>
      <c r="BB3">
        <f>BB2+BA3</f>
        <v>4.0610872695476608E-3</v>
      </c>
      <c r="BD3">
        <v>0.48722052999999999</v>
      </c>
      <c r="BE3">
        <v>124</v>
      </c>
      <c r="BF3">
        <v>7919</v>
      </c>
      <c r="BG3" s="5">
        <v>1</v>
      </c>
      <c r="BH3">
        <v>7695</v>
      </c>
      <c r="BI3" s="1">
        <v>0.32550108</v>
      </c>
      <c r="BJ3">
        <v>7695</v>
      </c>
      <c r="BK3" s="5">
        <v>178</v>
      </c>
      <c r="BL3">
        <v>7446</v>
      </c>
      <c r="BN3">
        <v>86</v>
      </c>
      <c r="BO3">
        <v>7412</v>
      </c>
      <c r="BP3">
        <v>86</v>
      </c>
      <c r="BQ3">
        <v>7412</v>
      </c>
      <c r="BR3">
        <v>86</v>
      </c>
      <c r="BS3">
        <v>7412</v>
      </c>
      <c r="BT3">
        <v>48</v>
      </c>
      <c r="BU3">
        <v>7418</v>
      </c>
      <c r="BV3">
        <v>48</v>
      </c>
      <c r="BW3">
        <v>7418</v>
      </c>
      <c r="BX3">
        <v>63</v>
      </c>
      <c r="BY3">
        <v>7325</v>
      </c>
    </row>
    <row r="4" spans="1:77" x14ac:dyDescent="0.25">
      <c r="A4">
        <v>2</v>
      </c>
      <c r="B4">
        <v>25</v>
      </c>
      <c r="C4">
        <v>54</v>
      </c>
      <c r="D4">
        <v>47</v>
      </c>
      <c r="E4">
        <v>59</v>
      </c>
      <c r="F4">
        <v>12</v>
      </c>
      <c r="G4">
        <v>70</v>
      </c>
      <c r="H4">
        <v>15</v>
      </c>
      <c r="I4">
        <v>39</v>
      </c>
      <c r="J4">
        <v>23</v>
      </c>
      <c r="K4">
        <v>59</v>
      </c>
      <c r="L4">
        <v>18</v>
      </c>
      <c r="M4">
        <v>22</v>
      </c>
      <c r="N4">
        <v>29</v>
      </c>
      <c r="O4">
        <v>20</v>
      </c>
      <c r="P4">
        <v>62</v>
      </c>
      <c r="Q4">
        <v>47</v>
      </c>
      <c r="R4">
        <v>25</v>
      </c>
      <c r="S4">
        <v>61</v>
      </c>
      <c r="T4">
        <v>94</v>
      </c>
      <c r="U4">
        <v>41</v>
      </c>
      <c r="X4">
        <v>2</v>
      </c>
      <c r="Y4">
        <f>Y3+VLOOKUP($X4,$A$3:$U$102,2,FALSE)</f>
        <v>53</v>
      </c>
      <c r="Z4">
        <f>MAX(Y4,Z3)+VLOOKUP($X4,$A$3:$U$102,3, FALSE)</f>
        <v>136</v>
      </c>
      <c r="AA4">
        <f>MAX(Z4,AA3)+VLOOKUP($X4,$A$3:$U$102,4, FALSE)</f>
        <v>221</v>
      </c>
      <c r="AB4">
        <f>MAX(AA4,AB3)+VLOOKUP($X4,$A$3:$U$102,5, FALSE)</f>
        <v>293</v>
      </c>
      <c r="AC4">
        <f>MAX(AB4,AC3)+VLOOKUP($X4,$A$3:$U$102,6, FALSE)</f>
        <v>305</v>
      </c>
      <c r="AD4">
        <f>MAX(AC4,AD3)+VLOOKUP($X4,$A$3:$U$102,7, FALSE)</f>
        <v>375</v>
      </c>
      <c r="AE4">
        <f>MAX(AD4,AE3)+VLOOKUP($X4,$A$3:$U$102,8, FALSE)</f>
        <v>390</v>
      </c>
      <c r="AF4">
        <f>MAX(AE4,AF3)+VLOOKUP($X4,$A$3:$U$102,9, FALSE)</f>
        <v>485</v>
      </c>
      <c r="AG4">
        <f>MAX(AF4,AG3)+VLOOKUP($X4,$A$3:$U$102,10, FALSE)</f>
        <v>536</v>
      </c>
      <c r="AH4">
        <f>MAX(AG4,AH3)+VLOOKUP($X4,$A$3:$U$102,11, FALSE)</f>
        <v>630</v>
      </c>
      <c r="AI4">
        <f>MAX(AH4,AI3)+VLOOKUP($X4,$A$3:$U$102,12, FALSE)</f>
        <v>648</v>
      </c>
      <c r="AJ4">
        <f>MAX(AI4,AJ3)+VLOOKUP($X4,$A$3:$U$102,13, FALSE)</f>
        <v>670</v>
      </c>
      <c r="AK4">
        <f>MAX(AJ4,AK3)+VLOOKUP($X4,$A$3:$U$102,14, FALSE)</f>
        <v>699</v>
      </c>
      <c r="AL4">
        <f>MAX(AK4,AL3)+VLOOKUP($X4,$A$3:$U$102,15, FALSE)</f>
        <v>756</v>
      </c>
      <c r="AM4">
        <f>MAX(AL4,AM3)+VLOOKUP($X4,$A$3:$U$102,16, FALSE)</f>
        <v>832</v>
      </c>
      <c r="AN4">
        <f>MAX(AM4,AN3)+VLOOKUP($X4,$A$3:$U$102,17, FALSE)</f>
        <v>904</v>
      </c>
      <c r="AO4">
        <f>MAX(AN4,AO3)+VLOOKUP($X4,$A$3:$U$102,18, FALSE)</f>
        <v>929</v>
      </c>
      <c r="AP4">
        <f>MAX(AO4,AP3)+VLOOKUP($X4,$A$3:$U$102,19, FALSE)</f>
        <v>1025</v>
      </c>
      <c r="AQ4">
        <f>MAX(AP4,AQ3)+VLOOKUP($X4,$A$3:$U$102,20, FALSE)</f>
        <v>1119</v>
      </c>
      <c r="AR4">
        <f>MAX(AQ4,AR3)+VLOOKUP($X4,$A$3:$U$102,21, FALSE)</f>
        <v>1160</v>
      </c>
      <c r="AX4">
        <v>2</v>
      </c>
      <c r="AY4">
        <v>7931</v>
      </c>
      <c r="AZ4">
        <f t="shared" ref="AZ4:AZ67" si="0">$AY$254/AY4</f>
        <v>246.35165805068718</v>
      </c>
      <c r="BA4">
        <f t="shared" ref="BA4:BA67" si="1">AZ4/$AZ$254</f>
        <v>3.9402429125166118E-3</v>
      </c>
      <c r="BB4">
        <f t="shared" ref="BB4:BB67" si="2">BB3+BA4</f>
        <v>8.0013301820642726E-3</v>
      </c>
      <c r="BD4">
        <v>0.38426679000000002</v>
      </c>
      <c r="BE4">
        <v>164</v>
      </c>
      <c r="BF4">
        <v>7609</v>
      </c>
      <c r="BG4" s="5">
        <v>2</v>
      </c>
      <c r="BH4">
        <v>7931</v>
      </c>
      <c r="BI4" s="1">
        <v>0.99332648999999995</v>
      </c>
      <c r="BJ4">
        <v>7931</v>
      </c>
      <c r="BK4" s="5">
        <v>199</v>
      </c>
      <c r="BL4">
        <v>7447</v>
      </c>
      <c r="BN4">
        <v>89</v>
      </c>
      <c r="BP4">
        <v>89</v>
      </c>
      <c r="BR4">
        <v>89</v>
      </c>
      <c r="BT4">
        <v>57</v>
      </c>
      <c r="BV4">
        <v>57</v>
      </c>
      <c r="BX4">
        <v>83</v>
      </c>
    </row>
    <row r="5" spans="1:77" x14ac:dyDescent="0.25">
      <c r="A5">
        <v>3</v>
      </c>
      <c r="B5">
        <v>61</v>
      </c>
      <c r="C5">
        <v>63</v>
      </c>
      <c r="D5">
        <v>70</v>
      </c>
      <c r="E5">
        <v>50</v>
      </c>
      <c r="F5">
        <v>19</v>
      </c>
      <c r="G5">
        <v>48</v>
      </c>
      <c r="H5">
        <v>52</v>
      </c>
      <c r="I5">
        <v>70</v>
      </c>
      <c r="J5">
        <v>25</v>
      </c>
      <c r="K5">
        <v>41</v>
      </c>
      <c r="L5">
        <v>75</v>
      </c>
      <c r="M5">
        <v>6</v>
      </c>
      <c r="N5">
        <v>50</v>
      </c>
      <c r="O5">
        <v>20</v>
      </c>
      <c r="P5">
        <v>86</v>
      </c>
      <c r="Q5">
        <v>11</v>
      </c>
      <c r="R5">
        <v>46</v>
      </c>
      <c r="S5">
        <v>2</v>
      </c>
      <c r="T5">
        <v>8</v>
      </c>
      <c r="U5">
        <v>93</v>
      </c>
      <c r="X5">
        <v>3</v>
      </c>
      <c r="Y5">
        <f t="shared" ref="Y5:Y68" si="3">Y4+VLOOKUP($X5,$A$3:$U$102,2,FALSE)</f>
        <v>114</v>
      </c>
      <c r="Z5">
        <f t="shared" ref="Z5:Z68" si="4">MAX(Y5,Z4)+VLOOKUP($X5,$A$3:$U$102,3, FALSE)</f>
        <v>199</v>
      </c>
      <c r="AA5">
        <f t="shared" ref="AA5:AA68" si="5">MAX(Z5,AA4)+VLOOKUP($X5,$A$3:$U$102,4, FALSE)</f>
        <v>291</v>
      </c>
      <c r="AB5">
        <f t="shared" ref="AB5:AB68" si="6">MAX(AA5,AB4)+VLOOKUP($X5,$A$3:$U$102,5, FALSE)</f>
        <v>343</v>
      </c>
      <c r="AC5">
        <f t="shared" ref="AC5:AC68" si="7">MAX(AB5,AC4)+VLOOKUP($X5,$A$3:$U$102,6, FALSE)</f>
        <v>362</v>
      </c>
      <c r="AD5">
        <f t="shared" ref="AD5:AD68" si="8">MAX(AC5,AD4)+VLOOKUP($X5,$A$3:$U$102,7, FALSE)</f>
        <v>423</v>
      </c>
      <c r="AE5">
        <f t="shared" ref="AE5:AE68" si="9">MAX(AD5,AE4)+VLOOKUP($X5,$A$3:$U$102,8, FALSE)</f>
        <v>475</v>
      </c>
      <c r="AF5">
        <f t="shared" ref="AF5:AF68" si="10">MAX(AE5,AF4)+VLOOKUP($X5,$A$3:$U$102,9, FALSE)</f>
        <v>555</v>
      </c>
      <c r="AG5">
        <f t="shared" ref="AG5:AG68" si="11">MAX(AF5,AG4)+VLOOKUP($X5,$A$3:$U$102,10, FALSE)</f>
        <v>580</v>
      </c>
      <c r="AH5">
        <f t="shared" ref="AH5:AH68" si="12">MAX(AG5,AH4)+VLOOKUP($X5,$A$3:$U$102,11, FALSE)</f>
        <v>671</v>
      </c>
      <c r="AI5">
        <f t="shared" ref="AI5:AI68" si="13">MAX(AH5,AI4)+VLOOKUP($X5,$A$3:$U$102,12, FALSE)</f>
        <v>746</v>
      </c>
      <c r="AJ5">
        <f t="shared" ref="AJ5:AJ68" si="14">MAX(AI5,AJ4)+VLOOKUP($X5,$A$3:$U$102,13, FALSE)</f>
        <v>752</v>
      </c>
      <c r="AK5">
        <f t="shared" ref="AK5:AK68" si="15">MAX(AJ5,AK4)+VLOOKUP($X5,$A$3:$U$102,14, FALSE)</f>
        <v>802</v>
      </c>
      <c r="AL5">
        <f t="shared" ref="AL5:AL68" si="16">MAX(AK5,AL4)+VLOOKUP($X5,$A$3:$U$102,15, FALSE)</f>
        <v>822</v>
      </c>
      <c r="AM5">
        <f t="shared" ref="AM5:AM68" si="17">MAX(AL5,AM4)+VLOOKUP($X5,$A$3:$U$102,16, FALSE)</f>
        <v>918</v>
      </c>
      <c r="AN5">
        <f t="shared" ref="AN5:AN68" si="18">MAX(AM5,AN4)+VLOOKUP($X5,$A$3:$U$102,17, FALSE)</f>
        <v>929</v>
      </c>
      <c r="AO5">
        <f t="shared" ref="AO5:AO68" si="19">MAX(AN5,AO4)+VLOOKUP($X5,$A$3:$U$102,18, FALSE)</f>
        <v>975</v>
      </c>
      <c r="AP5">
        <f t="shared" ref="AP5:AP68" si="20">MAX(AO5,AP4)+VLOOKUP($X5,$A$3:$U$102,19, FALSE)</f>
        <v>1027</v>
      </c>
      <c r="AQ5">
        <f t="shared" ref="AQ5:AQ68" si="21">MAX(AP5,AQ4)+VLOOKUP($X5,$A$3:$U$102,20, FALSE)</f>
        <v>1127</v>
      </c>
      <c r="AR5">
        <f t="shared" ref="AR5:AR68" si="22">MAX(AQ5,AR4)+VLOOKUP($X5,$A$3:$U$102,21, FALSE)</f>
        <v>1253</v>
      </c>
      <c r="AX5">
        <v>3</v>
      </c>
      <c r="AY5">
        <v>7755</v>
      </c>
      <c r="AZ5">
        <f t="shared" si="0"/>
        <v>251.94261766602193</v>
      </c>
      <c r="BA5">
        <f t="shared" si="1"/>
        <v>4.0296668651411023E-3</v>
      </c>
      <c r="BB5">
        <f t="shared" si="2"/>
        <v>1.2030997047205375E-2</v>
      </c>
      <c r="BD5">
        <v>1.90485E-3</v>
      </c>
      <c r="BE5">
        <v>2</v>
      </c>
      <c r="BF5">
        <v>7705</v>
      </c>
      <c r="BG5" s="5">
        <v>3</v>
      </c>
      <c r="BH5">
        <v>7755</v>
      </c>
      <c r="BI5" s="1">
        <v>0.67802167000000002</v>
      </c>
      <c r="BJ5">
        <v>7755</v>
      </c>
      <c r="BK5" s="5">
        <v>183</v>
      </c>
      <c r="BL5">
        <v>7470</v>
      </c>
      <c r="BN5">
        <v>42</v>
      </c>
      <c r="BP5">
        <v>42</v>
      </c>
      <c r="BR5">
        <v>42</v>
      </c>
      <c r="BT5">
        <v>60</v>
      </c>
      <c r="BV5">
        <v>60</v>
      </c>
      <c r="BX5">
        <v>49</v>
      </c>
    </row>
    <row r="6" spans="1:77" x14ac:dyDescent="0.25">
      <c r="A6">
        <v>4</v>
      </c>
      <c r="B6">
        <v>9</v>
      </c>
      <c r="C6">
        <v>93</v>
      </c>
      <c r="D6">
        <v>22</v>
      </c>
      <c r="E6">
        <v>9</v>
      </c>
      <c r="F6">
        <v>86</v>
      </c>
      <c r="G6">
        <v>24</v>
      </c>
      <c r="H6">
        <v>36</v>
      </c>
      <c r="I6">
        <v>78</v>
      </c>
      <c r="J6">
        <v>92</v>
      </c>
      <c r="K6">
        <v>23</v>
      </c>
      <c r="L6">
        <v>33</v>
      </c>
      <c r="M6">
        <v>39</v>
      </c>
      <c r="N6">
        <v>6</v>
      </c>
      <c r="O6">
        <v>25</v>
      </c>
      <c r="P6">
        <v>58</v>
      </c>
      <c r="Q6">
        <v>84</v>
      </c>
      <c r="R6">
        <v>38</v>
      </c>
      <c r="S6">
        <v>67</v>
      </c>
      <c r="T6">
        <v>91</v>
      </c>
      <c r="U6">
        <v>48</v>
      </c>
      <c r="X6">
        <v>4</v>
      </c>
      <c r="Y6">
        <f t="shared" si="3"/>
        <v>123</v>
      </c>
      <c r="Z6">
        <f t="shared" si="4"/>
        <v>292</v>
      </c>
      <c r="AA6">
        <f t="shared" si="5"/>
        <v>314</v>
      </c>
      <c r="AB6">
        <f t="shared" si="6"/>
        <v>352</v>
      </c>
      <c r="AC6">
        <f t="shared" si="7"/>
        <v>448</v>
      </c>
      <c r="AD6">
        <f t="shared" si="8"/>
        <v>472</v>
      </c>
      <c r="AE6">
        <f t="shared" si="9"/>
        <v>511</v>
      </c>
      <c r="AF6">
        <f t="shared" si="10"/>
        <v>633</v>
      </c>
      <c r="AG6">
        <f t="shared" si="11"/>
        <v>725</v>
      </c>
      <c r="AH6">
        <f t="shared" si="12"/>
        <v>748</v>
      </c>
      <c r="AI6">
        <f t="shared" si="13"/>
        <v>781</v>
      </c>
      <c r="AJ6">
        <f t="shared" si="14"/>
        <v>820</v>
      </c>
      <c r="AK6">
        <f t="shared" si="15"/>
        <v>826</v>
      </c>
      <c r="AL6">
        <f t="shared" si="16"/>
        <v>851</v>
      </c>
      <c r="AM6">
        <f t="shared" si="17"/>
        <v>976</v>
      </c>
      <c r="AN6">
        <f t="shared" si="18"/>
        <v>1060</v>
      </c>
      <c r="AO6">
        <f t="shared" si="19"/>
        <v>1098</v>
      </c>
      <c r="AP6">
        <f t="shared" si="20"/>
        <v>1165</v>
      </c>
      <c r="AQ6">
        <f t="shared" si="21"/>
        <v>1256</v>
      </c>
      <c r="AR6">
        <f t="shared" si="22"/>
        <v>1304</v>
      </c>
      <c r="AX6">
        <v>4</v>
      </c>
      <c r="AY6">
        <v>7892</v>
      </c>
      <c r="AZ6">
        <f t="shared" si="0"/>
        <v>247.56905727318804</v>
      </c>
      <c r="BA6">
        <f t="shared" si="1"/>
        <v>3.9597144626418203E-3</v>
      </c>
      <c r="BB6">
        <f t="shared" si="2"/>
        <v>1.5990711509847197E-2</v>
      </c>
      <c r="BD6">
        <v>0.41016012000000002</v>
      </c>
      <c r="BE6">
        <v>231</v>
      </c>
      <c r="BF6">
        <v>7816</v>
      </c>
      <c r="BG6" s="5">
        <v>4</v>
      </c>
      <c r="BH6">
        <v>7892</v>
      </c>
      <c r="BI6" s="1">
        <v>0.24692196</v>
      </c>
      <c r="BJ6">
        <v>7892</v>
      </c>
      <c r="BK6" s="5">
        <v>232</v>
      </c>
      <c r="BL6">
        <v>7475</v>
      </c>
      <c r="BN6">
        <v>33</v>
      </c>
      <c r="BP6">
        <v>33</v>
      </c>
      <c r="BR6">
        <v>33</v>
      </c>
      <c r="BT6">
        <v>62</v>
      </c>
      <c r="BV6">
        <v>62</v>
      </c>
      <c r="BX6">
        <v>81</v>
      </c>
    </row>
    <row r="7" spans="1:77" x14ac:dyDescent="0.25">
      <c r="A7">
        <v>5</v>
      </c>
      <c r="B7">
        <v>69</v>
      </c>
      <c r="C7">
        <v>38</v>
      </c>
      <c r="D7">
        <v>31</v>
      </c>
      <c r="E7">
        <v>17</v>
      </c>
      <c r="F7">
        <v>17</v>
      </c>
      <c r="G7">
        <v>73</v>
      </c>
      <c r="H7">
        <v>83</v>
      </c>
      <c r="I7">
        <v>72</v>
      </c>
      <c r="J7">
        <v>50</v>
      </c>
      <c r="K7">
        <v>18</v>
      </c>
      <c r="L7">
        <v>91</v>
      </c>
      <c r="M7">
        <v>59</v>
      </c>
      <c r="N7">
        <v>49</v>
      </c>
      <c r="O7">
        <v>82</v>
      </c>
      <c r="P7">
        <v>5</v>
      </c>
      <c r="Q7">
        <v>54</v>
      </c>
      <c r="R7">
        <v>26</v>
      </c>
      <c r="S7">
        <v>9</v>
      </c>
      <c r="T7">
        <v>7</v>
      </c>
      <c r="U7">
        <v>35</v>
      </c>
      <c r="X7">
        <v>5</v>
      </c>
      <c r="Y7">
        <f t="shared" si="3"/>
        <v>192</v>
      </c>
      <c r="Z7">
        <f t="shared" si="4"/>
        <v>330</v>
      </c>
      <c r="AA7">
        <f t="shared" si="5"/>
        <v>361</v>
      </c>
      <c r="AB7">
        <f t="shared" si="6"/>
        <v>378</v>
      </c>
      <c r="AC7">
        <f t="shared" si="7"/>
        <v>465</v>
      </c>
      <c r="AD7">
        <f t="shared" si="8"/>
        <v>545</v>
      </c>
      <c r="AE7">
        <f t="shared" si="9"/>
        <v>628</v>
      </c>
      <c r="AF7">
        <f t="shared" si="10"/>
        <v>705</v>
      </c>
      <c r="AG7">
        <f t="shared" si="11"/>
        <v>775</v>
      </c>
      <c r="AH7">
        <f t="shared" si="12"/>
        <v>793</v>
      </c>
      <c r="AI7">
        <f t="shared" si="13"/>
        <v>884</v>
      </c>
      <c r="AJ7">
        <f t="shared" si="14"/>
        <v>943</v>
      </c>
      <c r="AK7">
        <f t="shared" si="15"/>
        <v>992</v>
      </c>
      <c r="AL7">
        <f t="shared" si="16"/>
        <v>1074</v>
      </c>
      <c r="AM7">
        <f t="shared" si="17"/>
        <v>1079</v>
      </c>
      <c r="AN7">
        <f t="shared" si="18"/>
        <v>1133</v>
      </c>
      <c r="AO7">
        <f t="shared" si="19"/>
        <v>1159</v>
      </c>
      <c r="AP7">
        <f t="shared" si="20"/>
        <v>1174</v>
      </c>
      <c r="AQ7">
        <f t="shared" si="21"/>
        <v>1263</v>
      </c>
      <c r="AR7">
        <f t="shared" si="22"/>
        <v>1339</v>
      </c>
      <c r="AX7">
        <v>5</v>
      </c>
      <c r="AY7">
        <v>7968</v>
      </c>
      <c r="AZ7">
        <f t="shared" si="0"/>
        <v>245.20770582329317</v>
      </c>
      <c r="BA7">
        <f t="shared" si="1"/>
        <v>3.9219461018033695E-3</v>
      </c>
      <c r="BB7">
        <f t="shared" si="2"/>
        <v>1.9912657611650567E-2</v>
      </c>
      <c r="BD7">
        <v>0.83938599000000003</v>
      </c>
      <c r="BE7">
        <v>179</v>
      </c>
      <c r="BF7">
        <v>7612</v>
      </c>
      <c r="BG7" s="5">
        <v>5</v>
      </c>
      <c r="BH7">
        <v>7968</v>
      </c>
      <c r="BI7" s="1">
        <v>0.60876357999999997</v>
      </c>
      <c r="BJ7">
        <v>7968</v>
      </c>
      <c r="BK7" s="5">
        <v>236</v>
      </c>
      <c r="BL7">
        <v>7479</v>
      </c>
      <c r="BN7">
        <v>29</v>
      </c>
      <c r="BP7">
        <v>29</v>
      </c>
      <c r="BR7">
        <v>29</v>
      </c>
      <c r="BT7">
        <v>39</v>
      </c>
      <c r="BV7">
        <v>39</v>
      </c>
      <c r="BX7">
        <v>39</v>
      </c>
    </row>
    <row r="8" spans="1:77" x14ac:dyDescent="0.25">
      <c r="A8">
        <v>6</v>
      </c>
      <c r="B8">
        <v>77</v>
      </c>
      <c r="C8">
        <v>71</v>
      </c>
      <c r="D8">
        <v>11</v>
      </c>
      <c r="E8">
        <v>53</v>
      </c>
      <c r="F8">
        <v>49</v>
      </c>
      <c r="G8">
        <v>82</v>
      </c>
      <c r="H8">
        <v>78</v>
      </c>
      <c r="I8">
        <v>70</v>
      </c>
      <c r="J8">
        <v>8</v>
      </c>
      <c r="K8">
        <v>30</v>
      </c>
      <c r="L8">
        <v>20</v>
      </c>
      <c r="M8">
        <v>27</v>
      </c>
      <c r="N8">
        <v>95</v>
      </c>
      <c r="O8">
        <v>1</v>
      </c>
      <c r="P8">
        <v>41</v>
      </c>
      <c r="Q8">
        <v>88</v>
      </c>
      <c r="R8">
        <v>37</v>
      </c>
      <c r="S8">
        <v>41</v>
      </c>
      <c r="T8">
        <v>47</v>
      </c>
      <c r="U8">
        <v>75</v>
      </c>
      <c r="X8">
        <v>6</v>
      </c>
      <c r="Y8">
        <f t="shared" si="3"/>
        <v>269</v>
      </c>
      <c r="Z8">
        <f t="shared" si="4"/>
        <v>401</v>
      </c>
      <c r="AA8">
        <f t="shared" si="5"/>
        <v>412</v>
      </c>
      <c r="AB8">
        <f t="shared" si="6"/>
        <v>465</v>
      </c>
      <c r="AC8">
        <f t="shared" si="7"/>
        <v>514</v>
      </c>
      <c r="AD8">
        <f t="shared" si="8"/>
        <v>627</v>
      </c>
      <c r="AE8">
        <f t="shared" si="9"/>
        <v>706</v>
      </c>
      <c r="AF8">
        <f t="shared" si="10"/>
        <v>776</v>
      </c>
      <c r="AG8">
        <f t="shared" si="11"/>
        <v>784</v>
      </c>
      <c r="AH8">
        <f t="shared" si="12"/>
        <v>823</v>
      </c>
      <c r="AI8">
        <f t="shared" si="13"/>
        <v>904</v>
      </c>
      <c r="AJ8">
        <f t="shared" si="14"/>
        <v>970</v>
      </c>
      <c r="AK8">
        <f t="shared" si="15"/>
        <v>1087</v>
      </c>
      <c r="AL8">
        <f t="shared" si="16"/>
        <v>1088</v>
      </c>
      <c r="AM8">
        <f t="shared" si="17"/>
        <v>1129</v>
      </c>
      <c r="AN8">
        <f t="shared" si="18"/>
        <v>1221</v>
      </c>
      <c r="AO8">
        <f t="shared" si="19"/>
        <v>1258</v>
      </c>
      <c r="AP8">
        <f t="shared" si="20"/>
        <v>1299</v>
      </c>
      <c r="AQ8">
        <f t="shared" si="21"/>
        <v>1346</v>
      </c>
      <c r="AR8">
        <f t="shared" si="22"/>
        <v>1421</v>
      </c>
      <c r="AX8">
        <v>6</v>
      </c>
      <c r="AY8">
        <v>7655</v>
      </c>
      <c r="AZ8">
        <f t="shared" si="0"/>
        <v>255.23383409536251</v>
      </c>
      <c r="BA8">
        <f t="shared" si="1"/>
        <v>4.0823078431311884E-3</v>
      </c>
      <c r="BB8">
        <f t="shared" si="2"/>
        <v>2.3994965454781754E-2</v>
      </c>
      <c r="BD8">
        <v>0.27723330000000002</v>
      </c>
      <c r="BE8">
        <v>64</v>
      </c>
      <c r="BF8">
        <v>7494</v>
      </c>
      <c r="BG8" s="5">
        <v>6</v>
      </c>
      <c r="BH8">
        <v>7655</v>
      </c>
      <c r="BI8" s="1">
        <v>0.50511128000000005</v>
      </c>
      <c r="BJ8">
        <v>7655</v>
      </c>
      <c r="BK8" s="5">
        <v>82</v>
      </c>
      <c r="BL8">
        <v>7499</v>
      </c>
      <c r="BN8">
        <v>75</v>
      </c>
      <c r="BP8">
        <v>75</v>
      </c>
      <c r="BR8">
        <v>75</v>
      </c>
      <c r="BT8">
        <v>88</v>
      </c>
      <c r="BV8">
        <v>88</v>
      </c>
      <c r="BX8">
        <v>29</v>
      </c>
    </row>
    <row r="9" spans="1:77" x14ac:dyDescent="0.25">
      <c r="A9">
        <v>7</v>
      </c>
      <c r="B9">
        <v>21</v>
      </c>
      <c r="C9">
        <v>28</v>
      </c>
      <c r="D9">
        <v>69</v>
      </c>
      <c r="E9">
        <v>7</v>
      </c>
      <c r="F9">
        <v>61</v>
      </c>
      <c r="G9">
        <v>14</v>
      </c>
      <c r="H9">
        <v>42</v>
      </c>
      <c r="I9">
        <v>29</v>
      </c>
      <c r="J9">
        <v>78</v>
      </c>
      <c r="K9">
        <v>39</v>
      </c>
      <c r="L9">
        <v>2</v>
      </c>
      <c r="M9">
        <v>42</v>
      </c>
      <c r="N9">
        <v>38</v>
      </c>
      <c r="O9">
        <v>3</v>
      </c>
      <c r="P9">
        <v>38</v>
      </c>
      <c r="Q9">
        <v>83</v>
      </c>
      <c r="R9">
        <v>28</v>
      </c>
      <c r="S9">
        <v>30</v>
      </c>
      <c r="T9">
        <v>61</v>
      </c>
      <c r="U9">
        <v>36</v>
      </c>
      <c r="X9">
        <v>7</v>
      </c>
      <c r="Y9">
        <f t="shared" si="3"/>
        <v>290</v>
      </c>
      <c r="Z9">
        <f t="shared" si="4"/>
        <v>429</v>
      </c>
      <c r="AA9">
        <f t="shared" si="5"/>
        <v>498</v>
      </c>
      <c r="AB9">
        <f t="shared" si="6"/>
        <v>505</v>
      </c>
      <c r="AC9">
        <f t="shared" si="7"/>
        <v>575</v>
      </c>
      <c r="AD9">
        <f t="shared" si="8"/>
        <v>641</v>
      </c>
      <c r="AE9">
        <f t="shared" si="9"/>
        <v>748</v>
      </c>
      <c r="AF9">
        <f t="shared" si="10"/>
        <v>805</v>
      </c>
      <c r="AG9">
        <f t="shared" si="11"/>
        <v>883</v>
      </c>
      <c r="AH9">
        <f t="shared" si="12"/>
        <v>922</v>
      </c>
      <c r="AI9">
        <f t="shared" si="13"/>
        <v>924</v>
      </c>
      <c r="AJ9">
        <f t="shared" si="14"/>
        <v>1012</v>
      </c>
      <c r="AK9">
        <f t="shared" si="15"/>
        <v>1125</v>
      </c>
      <c r="AL9">
        <f t="shared" si="16"/>
        <v>1128</v>
      </c>
      <c r="AM9">
        <f t="shared" si="17"/>
        <v>1167</v>
      </c>
      <c r="AN9">
        <f t="shared" si="18"/>
        <v>1304</v>
      </c>
      <c r="AO9">
        <f t="shared" si="19"/>
        <v>1332</v>
      </c>
      <c r="AP9">
        <f t="shared" si="20"/>
        <v>1362</v>
      </c>
      <c r="AQ9">
        <f t="shared" si="21"/>
        <v>1423</v>
      </c>
      <c r="AR9">
        <f t="shared" si="22"/>
        <v>1459</v>
      </c>
      <c r="AX9">
        <v>7</v>
      </c>
      <c r="AY9">
        <v>7947</v>
      </c>
      <c r="AZ9">
        <f t="shared" si="0"/>
        <v>245.85566880583869</v>
      </c>
      <c r="BA9">
        <f t="shared" si="1"/>
        <v>3.9323098702868063E-3</v>
      </c>
      <c r="BB9">
        <f t="shared" si="2"/>
        <v>2.792727532506856E-2</v>
      </c>
      <c r="BD9">
        <v>0.72461664999999997</v>
      </c>
      <c r="BE9">
        <v>246</v>
      </c>
      <c r="BF9">
        <v>7837</v>
      </c>
      <c r="BG9" s="5">
        <v>7</v>
      </c>
      <c r="BH9">
        <v>7947</v>
      </c>
      <c r="BI9" s="1">
        <v>0.30795050000000002</v>
      </c>
      <c r="BJ9">
        <v>7947</v>
      </c>
      <c r="BK9" s="5">
        <v>36</v>
      </c>
      <c r="BL9">
        <v>7500</v>
      </c>
      <c r="BN9">
        <v>24</v>
      </c>
      <c r="BP9">
        <v>24</v>
      </c>
      <c r="BR9">
        <v>24</v>
      </c>
      <c r="BT9">
        <v>19</v>
      </c>
      <c r="BV9">
        <v>19</v>
      </c>
      <c r="BX9">
        <v>40</v>
      </c>
    </row>
    <row r="10" spans="1:77" x14ac:dyDescent="0.25">
      <c r="A10">
        <v>8</v>
      </c>
      <c r="B10">
        <v>40</v>
      </c>
      <c r="C10">
        <v>94</v>
      </c>
      <c r="D10">
        <v>72</v>
      </c>
      <c r="E10">
        <v>43</v>
      </c>
      <c r="F10">
        <v>81</v>
      </c>
      <c r="G10">
        <v>32</v>
      </c>
      <c r="H10">
        <v>27</v>
      </c>
      <c r="I10">
        <v>69</v>
      </c>
      <c r="J10">
        <v>46</v>
      </c>
      <c r="K10">
        <v>54</v>
      </c>
      <c r="L10">
        <v>91</v>
      </c>
      <c r="M10">
        <v>27</v>
      </c>
      <c r="N10">
        <v>34</v>
      </c>
      <c r="O10">
        <v>76</v>
      </c>
      <c r="P10">
        <v>84</v>
      </c>
      <c r="Q10">
        <v>3</v>
      </c>
      <c r="R10">
        <v>68</v>
      </c>
      <c r="S10">
        <v>94</v>
      </c>
      <c r="T10">
        <v>40</v>
      </c>
      <c r="U10">
        <v>8</v>
      </c>
      <c r="X10">
        <v>8</v>
      </c>
      <c r="Y10">
        <f t="shared" si="3"/>
        <v>330</v>
      </c>
      <c r="Z10">
        <f t="shared" si="4"/>
        <v>523</v>
      </c>
      <c r="AA10">
        <f t="shared" si="5"/>
        <v>595</v>
      </c>
      <c r="AB10">
        <f t="shared" si="6"/>
        <v>638</v>
      </c>
      <c r="AC10">
        <f t="shared" si="7"/>
        <v>719</v>
      </c>
      <c r="AD10">
        <f t="shared" si="8"/>
        <v>751</v>
      </c>
      <c r="AE10">
        <f t="shared" si="9"/>
        <v>778</v>
      </c>
      <c r="AF10">
        <f t="shared" si="10"/>
        <v>874</v>
      </c>
      <c r="AG10">
        <f t="shared" si="11"/>
        <v>929</v>
      </c>
      <c r="AH10">
        <f t="shared" si="12"/>
        <v>983</v>
      </c>
      <c r="AI10">
        <f t="shared" si="13"/>
        <v>1074</v>
      </c>
      <c r="AJ10">
        <f t="shared" si="14"/>
        <v>1101</v>
      </c>
      <c r="AK10">
        <f t="shared" si="15"/>
        <v>1159</v>
      </c>
      <c r="AL10">
        <f t="shared" si="16"/>
        <v>1235</v>
      </c>
      <c r="AM10">
        <f t="shared" si="17"/>
        <v>1319</v>
      </c>
      <c r="AN10">
        <f t="shared" si="18"/>
        <v>1322</v>
      </c>
      <c r="AO10">
        <f t="shared" si="19"/>
        <v>1400</v>
      </c>
      <c r="AP10">
        <f t="shared" si="20"/>
        <v>1494</v>
      </c>
      <c r="AQ10">
        <f t="shared" si="21"/>
        <v>1534</v>
      </c>
      <c r="AR10">
        <f t="shared" si="22"/>
        <v>1542</v>
      </c>
      <c r="AX10">
        <v>8</v>
      </c>
      <c r="AY10">
        <v>7909</v>
      </c>
      <c r="AZ10">
        <f t="shared" si="0"/>
        <v>247.0369199645973</v>
      </c>
      <c r="BA10">
        <f t="shared" si="1"/>
        <v>3.9512032544151282E-3</v>
      </c>
      <c r="BB10">
        <f t="shared" si="2"/>
        <v>3.1878478579483685E-2</v>
      </c>
      <c r="BD10">
        <v>0.28719074</v>
      </c>
      <c r="BE10">
        <v>89</v>
      </c>
      <c r="BF10">
        <v>7639</v>
      </c>
      <c r="BG10" s="5">
        <v>8</v>
      </c>
      <c r="BH10">
        <v>7909</v>
      </c>
      <c r="BI10" s="1">
        <v>0.11128587</v>
      </c>
      <c r="BJ10">
        <v>7909</v>
      </c>
      <c r="BK10" s="5">
        <v>19</v>
      </c>
      <c r="BL10">
        <v>7505</v>
      </c>
      <c r="BN10">
        <v>25</v>
      </c>
      <c r="BP10">
        <v>25</v>
      </c>
      <c r="BR10">
        <v>25</v>
      </c>
      <c r="BT10">
        <v>99</v>
      </c>
      <c r="BV10">
        <v>99</v>
      </c>
      <c r="BX10">
        <v>79</v>
      </c>
    </row>
    <row r="11" spans="1:77" x14ac:dyDescent="0.25">
      <c r="A11">
        <v>9</v>
      </c>
      <c r="B11">
        <v>98</v>
      </c>
      <c r="C11">
        <v>46</v>
      </c>
      <c r="D11">
        <v>44</v>
      </c>
      <c r="E11">
        <v>61</v>
      </c>
      <c r="F11">
        <v>37</v>
      </c>
      <c r="G11">
        <v>50</v>
      </c>
      <c r="H11">
        <v>90</v>
      </c>
      <c r="I11">
        <v>94</v>
      </c>
      <c r="J11">
        <v>3</v>
      </c>
      <c r="K11">
        <v>9</v>
      </c>
      <c r="L11">
        <v>18</v>
      </c>
      <c r="M11">
        <v>3</v>
      </c>
      <c r="N11">
        <v>71</v>
      </c>
      <c r="O11">
        <v>37</v>
      </c>
      <c r="P11">
        <v>67</v>
      </c>
      <c r="Q11">
        <v>39</v>
      </c>
      <c r="R11">
        <v>68</v>
      </c>
      <c r="S11">
        <v>17</v>
      </c>
      <c r="T11">
        <v>49</v>
      </c>
      <c r="U11">
        <v>49</v>
      </c>
      <c r="X11">
        <v>9</v>
      </c>
      <c r="Y11">
        <f t="shared" si="3"/>
        <v>428</v>
      </c>
      <c r="Z11">
        <f t="shared" si="4"/>
        <v>569</v>
      </c>
      <c r="AA11">
        <f t="shared" si="5"/>
        <v>639</v>
      </c>
      <c r="AB11">
        <f t="shared" si="6"/>
        <v>700</v>
      </c>
      <c r="AC11">
        <f t="shared" si="7"/>
        <v>756</v>
      </c>
      <c r="AD11">
        <f t="shared" si="8"/>
        <v>806</v>
      </c>
      <c r="AE11">
        <f t="shared" si="9"/>
        <v>896</v>
      </c>
      <c r="AF11">
        <f t="shared" si="10"/>
        <v>990</v>
      </c>
      <c r="AG11">
        <f t="shared" si="11"/>
        <v>993</v>
      </c>
      <c r="AH11">
        <f t="shared" si="12"/>
        <v>1002</v>
      </c>
      <c r="AI11">
        <f t="shared" si="13"/>
        <v>1092</v>
      </c>
      <c r="AJ11">
        <f t="shared" si="14"/>
        <v>1104</v>
      </c>
      <c r="AK11">
        <f t="shared" si="15"/>
        <v>1230</v>
      </c>
      <c r="AL11">
        <f t="shared" si="16"/>
        <v>1272</v>
      </c>
      <c r="AM11">
        <f t="shared" si="17"/>
        <v>1386</v>
      </c>
      <c r="AN11">
        <f t="shared" si="18"/>
        <v>1425</v>
      </c>
      <c r="AO11">
        <f t="shared" si="19"/>
        <v>1493</v>
      </c>
      <c r="AP11">
        <f t="shared" si="20"/>
        <v>1511</v>
      </c>
      <c r="AQ11">
        <f t="shared" si="21"/>
        <v>1583</v>
      </c>
      <c r="AR11">
        <f t="shared" si="22"/>
        <v>1632</v>
      </c>
      <c r="AX11">
        <v>9</v>
      </c>
      <c r="AY11">
        <v>7893</v>
      </c>
      <c r="AZ11">
        <f t="shared" si="0"/>
        <v>247.53769162549094</v>
      </c>
      <c r="BA11">
        <f t="shared" si="1"/>
        <v>3.9592127884415613E-3</v>
      </c>
      <c r="BB11">
        <f t="shared" si="2"/>
        <v>3.5837691367925244E-2</v>
      </c>
      <c r="BD11">
        <v>0.32279611000000002</v>
      </c>
      <c r="BE11">
        <v>27</v>
      </c>
      <c r="BF11">
        <v>7784</v>
      </c>
      <c r="BG11" s="5">
        <v>9</v>
      </c>
      <c r="BH11">
        <v>7948</v>
      </c>
      <c r="BI11" s="2">
        <v>3.2206800000000001E-3</v>
      </c>
      <c r="BJ11">
        <v>7893</v>
      </c>
      <c r="BK11" s="5">
        <v>209</v>
      </c>
      <c r="BL11">
        <v>7506</v>
      </c>
      <c r="BN11">
        <v>41</v>
      </c>
      <c r="BP11">
        <v>41</v>
      </c>
      <c r="BR11">
        <v>41</v>
      </c>
      <c r="BT11">
        <v>47</v>
      </c>
      <c r="BV11">
        <v>47</v>
      </c>
      <c r="BX11">
        <v>4</v>
      </c>
    </row>
    <row r="12" spans="1:77" x14ac:dyDescent="0.25">
      <c r="A12">
        <v>10</v>
      </c>
      <c r="B12">
        <v>65</v>
      </c>
      <c r="C12">
        <v>31</v>
      </c>
      <c r="D12">
        <v>64</v>
      </c>
      <c r="E12">
        <v>61</v>
      </c>
      <c r="F12">
        <v>10</v>
      </c>
      <c r="G12">
        <v>69</v>
      </c>
      <c r="H12">
        <v>11</v>
      </c>
      <c r="I12">
        <v>28</v>
      </c>
      <c r="J12">
        <v>44</v>
      </c>
      <c r="K12">
        <v>65</v>
      </c>
      <c r="L12">
        <v>6</v>
      </c>
      <c r="M12">
        <v>79</v>
      </c>
      <c r="N12">
        <v>50</v>
      </c>
      <c r="O12">
        <v>75</v>
      </c>
      <c r="P12">
        <v>62</v>
      </c>
      <c r="Q12">
        <v>13</v>
      </c>
      <c r="R12">
        <v>17</v>
      </c>
      <c r="S12">
        <v>98</v>
      </c>
      <c r="T12">
        <v>43</v>
      </c>
      <c r="U12">
        <v>51</v>
      </c>
      <c r="X12">
        <v>10</v>
      </c>
      <c r="Y12">
        <f t="shared" si="3"/>
        <v>493</v>
      </c>
      <c r="Z12">
        <f t="shared" si="4"/>
        <v>600</v>
      </c>
      <c r="AA12">
        <f t="shared" si="5"/>
        <v>703</v>
      </c>
      <c r="AB12">
        <f t="shared" si="6"/>
        <v>764</v>
      </c>
      <c r="AC12">
        <f t="shared" si="7"/>
        <v>774</v>
      </c>
      <c r="AD12">
        <f t="shared" si="8"/>
        <v>875</v>
      </c>
      <c r="AE12">
        <f t="shared" si="9"/>
        <v>907</v>
      </c>
      <c r="AF12">
        <f t="shared" si="10"/>
        <v>1018</v>
      </c>
      <c r="AG12">
        <f t="shared" si="11"/>
        <v>1062</v>
      </c>
      <c r="AH12">
        <f t="shared" si="12"/>
        <v>1127</v>
      </c>
      <c r="AI12">
        <f t="shared" si="13"/>
        <v>1133</v>
      </c>
      <c r="AJ12">
        <f t="shared" si="14"/>
        <v>1212</v>
      </c>
      <c r="AK12">
        <f t="shared" si="15"/>
        <v>1280</v>
      </c>
      <c r="AL12">
        <f t="shared" si="16"/>
        <v>1355</v>
      </c>
      <c r="AM12">
        <f t="shared" si="17"/>
        <v>1448</v>
      </c>
      <c r="AN12">
        <f t="shared" si="18"/>
        <v>1461</v>
      </c>
      <c r="AO12">
        <f t="shared" si="19"/>
        <v>1510</v>
      </c>
      <c r="AP12">
        <f t="shared" si="20"/>
        <v>1609</v>
      </c>
      <c r="AQ12">
        <f t="shared" si="21"/>
        <v>1652</v>
      </c>
      <c r="AR12">
        <f t="shared" si="22"/>
        <v>1703</v>
      </c>
      <c r="AX12">
        <v>10</v>
      </c>
      <c r="AY12">
        <v>8039</v>
      </c>
      <c r="AZ12">
        <f t="shared" si="0"/>
        <v>243.04204503047643</v>
      </c>
      <c r="BA12">
        <f t="shared" si="1"/>
        <v>3.8873076923957267E-3</v>
      </c>
      <c r="BB12">
        <f t="shared" si="2"/>
        <v>3.9724999060320967E-2</v>
      </c>
      <c r="BD12">
        <v>0.73349708000000002</v>
      </c>
      <c r="BE12">
        <v>182</v>
      </c>
      <c r="BF12">
        <v>7678</v>
      </c>
      <c r="BG12" s="5">
        <v>10</v>
      </c>
      <c r="BH12">
        <v>8039</v>
      </c>
      <c r="BI12" s="1">
        <v>0.96948904000000002</v>
      </c>
      <c r="BJ12">
        <v>8039</v>
      </c>
      <c r="BK12" s="5">
        <v>10</v>
      </c>
      <c r="BL12">
        <v>7509</v>
      </c>
      <c r="BN12">
        <v>8</v>
      </c>
      <c r="BP12">
        <v>8</v>
      </c>
      <c r="BR12">
        <v>8</v>
      </c>
      <c r="BT12">
        <v>45</v>
      </c>
      <c r="BV12">
        <v>45</v>
      </c>
      <c r="BX12">
        <v>42</v>
      </c>
    </row>
    <row r="13" spans="1:77" x14ac:dyDescent="0.25">
      <c r="A13">
        <v>11</v>
      </c>
      <c r="B13">
        <v>54</v>
      </c>
      <c r="C13">
        <v>11</v>
      </c>
      <c r="D13">
        <v>95</v>
      </c>
      <c r="E13">
        <v>80</v>
      </c>
      <c r="F13">
        <v>48</v>
      </c>
      <c r="G13">
        <v>98</v>
      </c>
      <c r="H13">
        <v>14</v>
      </c>
      <c r="I13">
        <v>38</v>
      </c>
      <c r="J13">
        <v>84</v>
      </c>
      <c r="K13">
        <v>72</v>
      </c>
      <c r="L13">
        <v>2</v>
      </c>
      <c r="M13">
        <v>34</v>
      </c>
      <c r="N13">
        <v>83</v>
      </c>
      <c r="O13">
        <v>73</v>
      </c>
      <c r="P13">
        <v>73</v>
      </c>
      <c r="Q13">
        <v>33</v>
      </c>
      <c r="R13">
        <v>49</v>
      </c>
      <c r="S13">
        <v>49</v>
      </c>
      <c r="T13">
        <v>96</v>
      </c>
      <c r="U13">
        <v>22</v>
      </c>
      <c r="X13">
        <v>11</v>
      </c>
      <c r="Y13">
        <f t="shared" si="3"/>
        <v>547</v>
      </c>
      <c r="Z13">
        <f t="shared" si="4"/>
        <v>611</v>
      </c>
      <c r="AA13">
        <f t="shared" si="5"/>
        <v>798</v>
      </c>
      <c r="AB13">
        <f t="shared" si="6"/>
        <v>878</v>
      </c>
      <c r="AC13">
        <f t="shared" si="7"/>
        <v>926</v>
      </c>
      <c r="AD13">
        <f t="shared" si="8"/>
        <v>1024</v>
      </c>
      <c r="AE13">
        <f t="shared" si="9"/>
        <v>1038</v>
      </c>
      <c r="AF13">
        <f t="shared" si="10"/>
        <v>1076</v>
      </c>
      <c r="AG13">
        <f t="shared" si="11"/>
        <v>1160</v>
      </c>
      <c r="AH13">
        <f t="shared" si="12"/>
        <v>1232</v>
      </c>
      <c r="AI13">
        <f t="shared" si="13"/>
        <v>1234</v>
      </c>
      <c r="AJ13">
        <f t="shared" si="14"/>
        <v>1268</v>
      </c>
      <c r="AK13">
        <f t="shared" si="15"/>
        <v>1363</v>
      </c>
      <c r="AL13">
        <f t="shared" si="16"/>
        <v>1436</v>
      </c>
      <c r="AM13">
        <f t="shared" si="17"/>
        <v>1521</v>
      </c>
      <c r="AN13">
        <f t="shared" si="18"/>
        <v>1554</v>
      </c>
      <c r="AO13">
        <f t="shared" si="19"/>
        <v>1603</v>
      </c>
      <c r="AP13">
        <f t="shared" si="20"/>
        <v>1658</v>
      </c>
      <c r="AQ13">
        <f t="shared" si="21"/>
        <v>1754</v>
      </c>
      <c r="AR13">
        <f t="shared" si="22"/>
        <v>1776</v>
      </c>
      <c r="AX13">
        <v>11</v>
      </c>
      <c r="AY13">
        <v>7862</v>
      </c>
      <c r="AZ13">
        <f t="shared" si="0"/>
        <v>248.51373696260492</v>
      </c>
      <c r="BA13">
        <f t="shared" si="1"/>
        <v>3.9748240319472461E-3</v>
      </c>
      <c r="BB13">
        <f t="shared" si="2"/>
        <v>4.3699823092268213E-2</v>
      </c>
      <c r="BD13">
        <v>0.88634288000000006</v>
      </c>
      <c r="BE13">
        <v>222</v>
      </c>
      <c r="BF13">
        <v>7791</v>
      </c>
      <c r="BG13" s="5">
        <v>11</v>
      </c>
      <c r="BH13">
        <v>7862</v>
      </c>
      <c r="BI13" s="1">
        <v>0.42006623999999998</v>
      </c>
      <c r="BJ13">
        <v>7862</v>
      </c>
      <c r="BK13" s="5">
        <v>246</v>
      </c>
      <c r="BL13">
        <v>7510</v>
      </c>
      <c r="BN13">
        <v>43</v>
      </c>
      <c r="BP13">
        <v>43</v>
      </c>
      <c r="BR13">
        <v>43</v>
      </c>
      <c r="BT13">
        <v>36</v>
      </c>
      <c r="BV13">
        <v>36</v>
      </c>
      <c r="BX13">
        <v>62</v>
      </c>
    </row>
    <row r="14" spans="1:77" x14ac:dyDescent="0.25">
      <c r="A14">
        <v>12</v>
      </c>
      <c r="B14">
        <v>75</v>
      </c>
      <c r="C14">
        <v>46</v>
      </c>
      <c r="D14">
        <v>99</v>
      </c>
      <c r="E14">
        <v>1</v>
      </c>
      <c r="F14">
        <v>9</v>
      </c>
      <c r="G14">
        <v>59</v>
      </c>
      <c r="H14">
        <v>97</v>
      </c>
      <c r="I14">
        <v>55</v>
      </c>
      <c r="J14">
        <v>21</v>
      </c>
      <c r="K14">
        <v>90</v>
      </c>
      <c r="L14">
        <v>40</v>
      </c>
      <c r="M14">
        <v>77</v>
      </c>
      <c r="N14">
        <v>45</v>
      </c>
      <c r="O14">
        <v>80</v>
      </c>
      <c r="P14">
        <v>77</v>
      </c>
      <c r="Q14">
        <v>58</v>
      </c>
      <c r="R14">
        <v>85</v>
      </c>
      <c r="S14">
        <v>45</v>
      </c>
      <c r="T14">
        <v>84</v>
      </c>
      <c r="U14">
        <v>83</v>
      </c>
      <c r="X14">
        <v>12</v>
      </c>
      <c r="Y14">
        <f t="shared" si="3"/>
        <v>622</v>
      </c>
      <c r="Z14">
        <f t="shared" si="4"/>
        <v>668</v>
      </c>
      <c r="AA14">
        <f t="shared" si="5"/>
        <v>897</v>
      </c>
      <c r="AB14">
        <f t="shared" si="6"/>
        <v>898</v>
      </c>
      <c r="AC14">
        <f t="shared" si="7"/>
        <v>935</v>
      </c>
      <c r="AD14">
        <f t="shared" si="8"/>
        <v>1083</v>
      </c>
      <c r="AE14">
        <f t="shared" si="9"/>
        <v>1180</v>
      </c>
      <c r="AF14">
        <f t="shared" si="10"/>
        <v>1235</v>
      </c>
      <c r="AG14">
        <f t="shared" si="11"/>
        <v>1256</v>
      </c>
      <c r="AH14">
        <f t="shared" si="12"/>
        <v>1346</v>
      </c>
      <c r="AI14">
        <f t="shared" si="13"/>
        <v>1386</v>
      </c>
      <c r="AJ14">
        <f t="shared" si="14"/>
        <v>1463</v>
      </c>
      <c r="AK14">
        <f t="shared" si="15"/>
        <v>1508</v>
      </c>
      <c r="AL14">
        <f t="shared" si="16"/>
        <v>1588</v>
      </c>
      <c r="AM14">
        <f t="shared" si="17"/>
        <v>1665</v>
      </c>
      <c r="AN14">
        <f t="shared" si="18"/>
        <v>1723</v>
      </c>
      <c r="AO14">
        <f t="shared" si="19"/>
        <v>1808</v>
      </c>
      <c r="AP14">
        <f t="shared" si="20"/>
        <v>1853</v>
      </c>
      <c r="AQ14">
        <f t="shared" si="21"/>
        <v>1937</v>
      </c>
      <c r="AR14">
        <f t="shared" si="22"/>
        <v>2020</v>
      </c>
      <c r="AX14">
        <v>12</v>
      </c>
      <c r="AY14">
        <v>7639</v>
      </c>
      <c r="AZ14">
        <f t="shared" si="0"/>
        <v>255.76842518654274</v>
      </c>
      <c r="BA14">
        <f t="shared" si="1"/>
        <v>4.09085829809782E-3</v>
      </c>
      <c r="BB14">
        <f t="shared" si="2"/>
        <v>4.7790681390366033E-2</v>
      </c>
      <c r="BD14">
        <v>0.46045929000000002</v>
      </c>
      <c r="BE14">
        <v>114</v>
      </c>
      <c r="BF14">
        <v>7692</v>
      </c>
      <c r="BG14" s="5">
        <v>12</v>
      </c>
      <c r="BH14">
        <v>7639</v>
      </c>
      <c r="BI14" s="1">
        <v>0.63419157000000004</v>
      </c>
      <c r="BJ14">
        <v>7639</v>
      </c>
      <c r="BK14" s="5">
        <v>225</v>
      </c>
      <c r="BL14">
        <v>7517</v>
      </c>
      <c r="BN14">
        <v>38</v>
      </c>
      <c r="BP14">
        <v>38</v>
      </c>
      <c r="BR14">
        <v>38</v>
      </c>
      <c r="BT14">
        <v>78</v>
      </c>
      <c r="BV14">
        <v>78</v>
      </c>
      <c r="BX14">
        <v>75</v>
      </c>
    </row>
    <row r="15" spans="1:77" x14ac:dyDescent="0.25">
      <c r="A15">
        <v>13</v>
      </c>
      <c r="B15">
        <v>57</v>
      </c>
      <c r="C15">
        <v>35</v>
      </c>
      <c r="D15">
        <v>88</v>
      </c>
      <c r="E15">
        <v>37</v>
      </c>
      <c r="F15">
        <v>49</v>
      </c>
      <c r="G15">
        <v>45</v>
      </c>
      <c r="H15">
        <v>91</v>
      </c>
      <c r="I15">
        <v>75</v>
      </c>
      <c r="J15">
        <v>48</v>
      </c>
      <c r="K15">
        <v>31</v>
      </c>
      <c r="L15">
        <v>10</v>
      </c>
      <c r="M15">
        <v>92</v>
      </c>
      <c r="N15">
        <v>48</v>
      </c>
      <c r="O15">
        <v>59</v>
      </c>
      <c r="P15">
        <v>11</v>
      </c>
      <c r="Q15">
        <v>46</v>
      </c>
      <c r="R15">
        <v>69</v>
      </c>
      <c r="S15">
        <v>16</v>
      </c>
      <c r="T15">
        <v>44</v>
      </c>
      <c r="U15">
        <v>54</v>
      </c>
      <c r="X15">
        <v>13</v>
      </c>
      <c r="Y15">
        <f t="shared" si="3"/>
        <v>679</v>
      </c>
      <c r="Z15">
        <f t="shared" si="4"/>
        <v>714</v>
      </c>
      <c r="AA15">
        <f t="shared" si="5"/>
        <v>985</v>
      </c>
      <c r="AB15">
        <f t="shared" si="6"/>
        <v>1022</v>
      </c>
      <c r="AC15">
        <f t="shared" si="7"/>
        <v>1071</v>
      </c>
      <c r="AD15">
        <f t="shared" si="8"/>
        <v>1128</v>
      </c>
      <c r="AE15">
        <f t="shared" si="9"/>
        <v>1271</v>
      </c>
      <c r="AF15">
        <f t="shared" si="10"/>
        <v>1346</v>
      </c>
      <c r="AG15">
        <f t="shared" si="11"/>
        <v>1394</v>
      </c>
      <c r="AH15">
        <f t="shared" si="12"/>
        <v>1425</v>
      </c>
      <c r="AI15">
        <f t="shared" si="13"/>
        <v>1435</v>
      </c>
      <c r="AJ15">
        <f t="shared" si="14"/>
        <v>1555</v>
      </c>
      <c r="AK15">
        <f t="shared" si="15"/>
        <v>1603</v>
      </c>
      <c r="AL15">
        <f t="shared" si="16"/>
        <v>1662</v>
      </c>
      <c r="AM15">
        <f t="shared" si="17"/>
        <v>1676</v>
      </c>
      <c r="AN15">
        <f t="shared" si="18"/>
        <v>1769</v>
      </c>
      <c r="AO15">
        <f t="shared" si="19"/>
        <v>1877</v>
      </c>
      <c r="AP15">
        <f t="shared" si="20"/>
        <v>1893</v>
      </c>
      <c r="AQ15">
        <f t="shared" si="21"/>
        <v>1981</v>
      </c>
      <c r="AR15">
        <f t="shared" si="22"/>
        <v>2074</v>
      </c>
      <c r="AX15">
        <v>13</v>
      </c>
      <c r="AY15">
        <v>7800</v>
      </c>
      <c r="AZ15">
        <f t="shared" si="0"/>
        <v>250.48910256410255</v>
      </c>
      <c r="BA15">
        <f t="shared" si="1"/>
        <v>4.00641878707298E-3</v>
      </c>
      <c r="BB15">
        <f t="shared" si="2"/>
        <v>5.1797100177439014E-2</v>
      </c>
      <c r="BD15">
        <v>7.7648640000000005E-2</v>
      </c>
      <c r="BE15">
        <v>204</v>
      </c>
      <c r="BF15">
        <v>7934</v>
      </c>
      <c r="BG15" s="5">
        <v>13</v>
      </c>
      <c r="BH15">
        <v>7800</v>
      </c>
      <c r="BI15" s="1">
        <v>0.73174477000000004</v>
      </c>
      <c r="BJ15">
        <v>7800</v>
      </c>
      <c r="BK15" s="5">
        <v>206</v>
      </c>
      <c r="BL15">
        <v>7520</v>
      </c>
      <c r="BN15">
        <v>87</v>
      </c>
      <c r="BP15">
        <v>87</v>
      </c>
      <c r="BR15">
        <v>87</v>
      </c>
      <c r="BT15">
        <v>7</v>
      </c>
      <c r="BV15">
        <v>7</v>
      </c>
      <c r="BX15">
        <v>7</v>
      </c>
    </row>
    <row r="16" spans="1:77" x14ac:dyDescent="0.25">
      <c r="A16">
        <v>14</v>
      </c>
      <c r="B16">
        <v>49</v>
      </c>
      <c r="C16">
        <v>99</v>
      </c>
      <c r="D16">
        <v>83</v>
      </c>
      <c r="E16">
        <v>84</v>
      </c>
      <c r="F16">
        <v>49</v>
      </c>
      <c r="G16">
        <v>66</v>
      </c>
      <c r="H16">
        <v>50</v>
      </c>
      <c r="I16">
        <v>43</v>
      </c>
      <c r="J16">
        <v>15</v>
      </c>
      <c r="K16">
        <v>27</v>
      </c>
      <c r="L16">
        <v>48</v>
      </c>
      <c r="M16">
        <v>97</v>
      </c>
      <c r="N16">
        <v>65</v>
      </c>
      <c r="O16">
        <v>63</v>
      </c>
      <c r="P16">
        <v>10</v>
      </c>
      <c r="Q16">
        <v>32</v>
      </c>
      <c r="R16">
        <v>49</v>
      </c>
      <c r="S16">
        <v>85</v>
      </c>
      <c r="T16">
        <v>89</v>
      </c>
      <c r="U16">
        <v>59</v>
      </c>
      <c r="X16">
        <v>14</v>
      </c>
      <c r="Y16">
        <f t="shared" si="3"/>
        <v>728</v>
      </c>
      <c r="Z16">
        <f t="shared" si="4"/>
        <v>827</v>
      </c>
      <c r="AA16">
        <f t="shared" si="5"/>
        <v>1068</v>
      </c>
      <c r="AB16">
        <f t="shared" si="6"/>
        <v>1152</v>
      </c>
      <c r="AC16">
        <f t="shared" si="7"/>
        <v>1201</v>
      </c>
      <c r="AD16">
        <f t="shared" si="8"/>
        <v>1267</v>
      </c>
      <c r="AE16">
        <f t="shared" si="9"/>
        <v>1321</v>
      </c>
      <c r="AF16">
        <f t="shared" si="10"/>
        <v>1389</v>
      </c>
      <c r="AG16">
        <f t="shared" si="11"/>
        <v>1409</v>
      </c>
      <c r="AH16">
        <f t="shared" si="12"/>
        <v>1452</v>
      </c>
      <c r="AI16">
        <f t="shared" si="13"/>
        <v>1500</v>
      </c>
      <c r="AJ16">
        <f t="shared" si="14"/>
        <v>1652</v>
      </c>
      <c r="AK16">
        <f t="shared" si="15"/>
        <v>1717</v>
      </c>
      <c r="AL16">
        <f t="shared" si="16"/>
        <v>1780</v>
      </c>
      <c r="AM16">
        <f t="shared" si="17"/>
        <v>1790</v>
      </c>
      <c r="AN16">
        <f t="shared" si="18"/>
        <v>1822</v>
      </c>
      <c r="AO16">
        <f t="shared" si="19"/>
        <v>1926</v>
      </c>
      <c r="AP16">
        <f t="shared" si="20"/>
        <v>2011</v>
      </c>
      <c r="AQ16">
        <f t="shared" si="21"/>
        <v>2100</v>
      </c>
      <c r="AR16">
        <f t="shared" si="22"/>
        <v>2159</v>
      </c>
      <c r="AX16">
        <v>14</v>
      </c>
      <c r="AY16">
        <v>7654</v>
      </c>
      <c r="AZ16">
        <f t="shared" si="0"/>
        <v>255.26718055918474</v>
      </c>
      <c r="BA16">
        <f t="shared" si="1"/>
        <v>4.0828411992643388E-3</v>
      </c>
      <c r="BB16">
        <f t="shared" si="2"/>
        <v>5.5879941376703351E-2</v>
      </c>
      <c r="BD16">
        <v>0.89496487000000002</v>
      </c>
      <c r="BE16">
        <v>238</v>
      </c>
      <c r="BF16">
        <v>7719</v>
      </c>
      <c r="BG16" s="5">
        <v>14</v>
      </c>
      <c r="BH16">
        <v>7654</v>
      </c>
      <c r="BI16" s="1">
        <v>0.90679759000000004</v>
      </c>
      <c r="BJ16">
        <v>7654</v>
      </c>
      <c r="BK16" s="5">
        <v>102</v>
      </c>
      <c r="BL16">
        <v>7521</v>
      </c>
      <c r="BN16">
        <v>17</v>
      </c>
      <c r="BP16">
        <v>17</v>
      </c>
      <c r="BR16">
        <v>17</v>
      </c>
      <c r="BT16">
        <v>75</v>
      </c>
      <c r="BV16">
        <v>75</v>
      </c>
      <c r="BX16">
        <v>21</v>
      </c>
    </row>
    <row r="17" spans="1:76" x14ac:dyDescent="0.25">
      <c r="A17">
        <v>15</v>
      </c>
      <c r="B17">
        <v>13</v>
      </c>
      <c r="C17">
        <v>30</v>
      </c>
      <c r="D17">
        <v>38</v>
      </c>
      <c r="E17">
        <v>47</v>
      </c>
      <c r="F17">
        <v>56</v>
      </c>
      <c r="G17">
        <v>66</v>
      </c>
      <c r="H17">
        <v>10</v>
      </c>
      <c r="I17">
        <v>82</v>
      </c>
      <c r="J17">
        <v>76</v>
      </c>
      <c r="K17">
        <v>28</v>
      </c>
      <c r="L17">
        <v>65</v>
      </c>
      <c r="M17">
        <v>27</v>
      </c>
      <c r="N17">
        <v>46</v>
      </c>
      <c r="O17">
        <v>51</v>
      </c>
      <c r="P17">
        <v>20</v>
      </c>
      <c r="Q17">
        <v>87</v>
      </c>
      <c r="R17">
        <v>41</v>
      </c>
      <c r="S17">
        <v>39</v>
      </c>
      <c r="T17">
        <v>68</v>
      </c>
      <c r="U17">
        <v>61</v>
      </c>
      <c r="X17">
        <v>15</v>
      </c>
      <c r="Y17">
        <f t="shared" si="3"/>
        <v>741</v>
      </c>
      <c r="Z17">
        <f t="shared" si="4"/>
        <v>857</v>
      </c>
      <c r="AA17">
        <f t="shared" si="5"/>
        <v>1106</v>
      </c>
      <c r="AB17">
        <f t="shared" si="6"/>
        <v>1199</v>
      </c>
      <c r="AC17">
        <f t="shared" si="7"/>
        <v>1257</v>
      </c>
      <c r="AD17">
        <f t="shared" si="8"/>
        <v>1333</v>
      </c>
      <c r="AE17">
        <f t="shared" si="9"/>
        <v>1343</v>
      </c>
      <c r="AF17">
        <f t="shared" si="10"/>
        <v>1471</v>
      </c>
      <c r="AG17">
        <f t="shared" si="11"/>
        <v>1547</v>
      </c>
      <c r="AH17">
        <f t="shared" si="12"/>
        <v>1575</v>
      </c>
      <c r="AI17">
        <f t="shared" si="13"/>
        <v>1640</v>
      </c>
      <c r="AJ17">
        <f t="shared" si="14"/>
        <v>1679</v>
      </c>
      <c r="AK17">
        <f t="shared" si="15"/>
        <v>1763</v>
      </c>
      <c r="AL17">
        <f t="shared" si="16"/>
        <v>1831</v>
      </c>
      <c r="AM17">
        <f t="shared" si="17"/>
        <v>1851</v>
      </c>
      <c r="AN17">
        <f t="shared" si="18"/>
        <v>1938</v>
      </c>
      <c r="AO17">
        <f t="shared" si="19"/>
        <v>1979</v>
      </c>
      <c r="AP17">
        <f t="shared" si="20"/>
        <v>2050</v>
      </c>
      <c r="AQ17">
        <f t="shared" si="21"/>
        <v>2168</v>
      </c>
      <c r="AR17">
        <f t="shared" si="22"/>
        <v>2229</v>
      </c>
      <c r="AX17">
        <v>15</v>
      </c>
      <c r="AY17">
        <v>7542</v>
      </c>
      <c r="AZ17">
        <f t="shared" si="0"/>
        <v>259.05794219040041</v>
      </c>
      <c r="BA17">
        <f t="shared" si="1"/>
        <v>4.1434720948248802E-3</v>
      </c>
      <c r="BB17">
        <f t="shared" si="2"/>
        <v>6.0023413471528231E-2</v>
      </c>
      <c r="BD17">
        <v>0.37386333999999999</v>
      </c>
      <c r="BE17">
        <v>189</v>
      </c>
      <c r="BF17">
        <v>8189</v>
      </c>
      <c r="BG17" s="5">
        <v>15</v>
      </c>
      <c r="BH17">
        <v>7542</v>
      </c>
      <c r="BI17" s="1">
        <v>0.91600192000000003</v>
      </c>
      <c r="BJ17">
        <v>7542</v>
      </c>
      <c r="BK17" s="5">
        <v>46</v>
      </c>
      <c r="BL17">
        <v>7525</v>
      </c>
      <c r="BN17">
        <v>94</v>
      </c>
      <c r="BP17">
        <v>94</v>
      </c>
      <c r="BR17">
        <v>94</v>
      </c>
      <c r="BT17">
        <v>10</v>
      </c>
      <c r="BV17">
        <v>10</v>
      </c>
      <c r="BX17">
        <v>33</v>
      </c>
    </row>
    <row r="18" spans="1:76" x14ac:dyDescent="0.25">
      <c r="A18">
        <v>16</v>
      </c>
      <c r="B18">
        <v>31</v>
      </c>
      <c r="C18">
        <v>73</v>
      </c>
      <c r="D18">
        <v>13</v>
      </c>
      <c r="E18">
        <v>18</v>
      </c>
      <c r="F18">
        <v>44</v>
      </c>
      <c r="G18">
        <v>43</v>
      </c>
      <c r="H18">
        <v>64</v>
      </c>
      <c r="I18">
        <v>15</v>
      </c>
      <c r="J18">
        <v>11</v>
      </c>
      <c r="K18">
        <v>66</v>
      </c>
      <c r="L18">
        <v>67</v>
      </c>
      <c r="M18">
        <v>68</v>
      </c>
      <c r="N18">
        <v>24</v>
      </c>
      <c r="O18">
        <v>66</v>
      </c>
      <c r="P18">
        <v>93</v>
      </c>
      <c r="Q18">
        <v>67</v>
      </c>
      <c r="R18">
        <v>29</v>
      </c>
      <c r="S18">
        <v>38</v>
      </c>
      <c r="T18">
        <v>95</v>
      </c>
      <c r="U18">
        <v>34</v>
      </c>
      <c r="X18">
        <v>16</v>
      </c>
      <c r="Y18">
        <f t="shared" si="3"/>
        <v>772</v>
      </c>
      <c r="Z18">
        <f t="shared" si="4"/>
        <v>930</v>
      </c>
      <c r="AA18">
        <f t="shared" si="5"/>
        <v>1119</v>
      </c>
      <c r="AB18">
        <f t="shared" si="6"/>
        <v>1217</v>
      </c>
      <c r="AC18">
        <f t="shared" si="7"/>
        <v>1301</v>
      </c>
      <c r="AD18">
        <f t="shared" si="8"/>
        <v>1376</v>
      </c>
      <c r="AE18">
        <f t="shared" si="9"/>
        <v>1440</v>
      </c>
      <c r="AF18">
        <f t="shared" si="10"/>
        <v>1486</v>
      </c>
      <c r="AG18">
        <f t="shared" si="11"/>
        <v>1558</v>
      </c>
      <c r="AH18">
        <f t="shared" si="12"/>
        <v>1641</v>
      </c>
      <c r="AI18">
        <f t="shared" si="13"/>
        <v>1708</v>
      </c>
      <c r="AJ18">
        <f t="shared" si="14"/>
        <v>1776</v>
      </c>
      <c r="AK18">
        <f t="shared" si="15"/>
        <v>1800</v>
      </c>
      <c r="AL18">
        <f t="shared" si="16"/>
        <v>1897</v>
      </c>
      <c r="AM18">
        <f t="shared" si="17"/>
        <v>1990</v>
      </c>
      <c r="AN18">
        <f t="shared" si="18"/>
        <v>2057</v>
      </c>
      <c r="AO18">
        <f t="shared" si="19"/>
        <v>2086</v>
      </c>
      <c r="AP18">
        <f t="shared" si="20"/>
        <v>2124</v>
      </c>
      <c r="AQ18">
        <f t="shared" si="21"/>
        <v>2263</v>
      </c>
      <c r="AR18">
        <f t="shared" si="22"/>
        <v>2297</v>
      </c>
      <c r="AX18">
        <v>16</v>
      </c>
      <c r="AY18">
        <v>7827</v>
      </c>
      <c r="AZ18">
        <f t="shared" si="0"/>
        <v>249.62501597035902</v>
      </c>
      <c r="BA18">
        <f t="shared" si="1"/>
        <v>3.9925982546530278E-3</v>
      </c>
      <c r="BB18">
        <f t="shared" si="2"/>
        <v>6.4016011726181266E-2</v>
      </c>
      <c r="BD18">
        <v>0.33212644000000002</v>
      </c>
      <c r="BE18">
        <v>221</v>
      </c>
      <c r="BF18">
        <v>7897</v>
      </c>
      <c r="BG18" s="5">
        <v>16</v>
      </c>
      <c r="BH18">
        <v>7827</v>
      </c>
      <c r="BI18" s="1">
        <v>0.47280054999999999</v>
      </c>
      <c r="BJ18">
        <v>7827</v>
      </c>
      <c r="BK18" s="5">
        <v>131</v>
      </c>
      <c r="BL18">
        <v>7542</v>
      </c>
      <c r="BN18">
        <v>40</v>
      </c>
      <c r="BP18">
        <v>40</v>
      </c>
      <c r="BR18">
        <v>40</v>
      </c>
      <c r="BT18">
        <v>41</v>
      </c>
      <c r="BV18">
        <v>41</v>
      </c>
      <c r="BX18">
        <v>57</v>
      </c>
    </row>
    <row r="19" spans="1:76" x14ac:dyDescent="0.25">
      <c r="A19">
        <v>17</v>
      </c>
      <c r="B19">
        <v>76</v>
      </c>
      <c r="C19">
        <v>60</v>
      </c>
      <c r="D19">
        <v>9</v>
      </c>
      <c r="E19">
        <v>41</v>
      </c>
      <c r="F19">
        <v>11</v>
      </c>
      <c r="G19">
        <v>17</v>
      </c>
      <c r="H19">
        <v>90</v>
      </c>
      <c r="I19">
        <v>55</v>
      </c>
      <c r="J19">
        <v>80</v>
      </c>
      <c r="K19">
        <v>5</v>
      </c>
      <c r="L19">
        <v>36</v>
      </c>
      <c r="M19">
        <v>29</v>
      </c>
      <c r="N19">
        <v>44</v>
      </c>
      <c r="O19">
        <v>90</v>
      </c>
      <c r="P19">
        <v>40</v>
      </c>
      <c r="Q19">
        <v>52</v>
      </c>
      <c r="R19">
        <v>5</v>
      </c>
      <c r="S19">
        <v>13</v>
      </c>
      <c r="T19">
        <v>94</v>
      </c>
      <c r="U19">
        <v>45</v>
      </c>
      <c r="X19">
        <v>17</v>
      </c>
      <c r="Y19">
        <f t="shared" si="3"/>
        <v>848</v>
      </c>
      <c r="Z19">
        <f t="shared" si="4"/>
        <v>990</v>
      </c>
      <c r="AA19">
        <f t="shared" si="5"/>
        <v>1128</v>
      </c>
      <c r="AB19">
        <f t="shared" si="6"/>
        <v>1258</v>
      </c>
      <c r="AC19">
        <f t="shared" si="7"/>
        <v>1312</v>
      </c>
      <c r="AD19">
        <f t="shared" si="8"/>
        <v>1393</v>
      </c>
      <c r="AE19">
        <f t="shared" si="9"/>
        <v>1530</v>
      </c>
      <c r="AF19">
        <f t="shared" si="10"/>
        <v>1585</v>
      </c>
      <c r="AG19">
        <f t="shared" si="11"/>
        <v>1665</v>
      </c>
      <c r="AH19">
        <f t="shared" si="12"/>
        <v>1670</v>
      </c>
      <c r="AI19">
        <f t="shared" si="13"/>
        <v>1744</v>
      </c>
      <c r="AJ19">
        <f t="shared" si="14"/>
        <v>1805</v>
      </c>
      <c r="AK19">
        <f t="shared" si="15"/>
        <v>1849</v>
      </c>
      <c r="AL19">
        <f t="shared" si="16"/>
        <v>1987</v>
      </c>
      <c r="AM19">
        <f t="shared" si="17"/>
        <v>2030</v>
      </c>
      <c r="AN19">
        <f t="shared" si="18"/>
        <v>2109</v>
      </c>
      <c r="AO19">
        <f t="shared" si="19"/>
        <v>2114</v>
      </c>
      <c r="AP19">
        <f t="shared" si="20"/>
        <v>2137</v>
      </c>
      <c r="AQ19">
        <f t="shared" si="21"/>
        <v>2357</v>
      </c>
      <c r="AR19">
        <f t="shared" si="22"/>
        <v>2402</v>
      </c>
      <c r="AX19">
        <v>17</v>
      </c>
      <c r="AY19">
        <v>7818</v>
      </c>
      <c r="AZ19">
        <f t="shared" si="0"/>
        <v>249.91238168329497</v>
      </c>
      <c r="BA19">
        <f t="shared" si="1"/>
        <v>3.9971944920912314E-3</v>
      </c>
      <c r="BB19">
        <f t="shared" si="2"/>
        <v>6.8013206218272504E-2</v>
      </c>
      <c r="BD19">
        <v>0.70996165</v>
      </c>
      <c r="BE19">
        <v>207</v>
      </c>
      <c r="BF19">
        <v>7741</v>
      </c>
      <c r="BG19" s="5">
        <v>17</v>
      </c>
      <c r="BH19">
        <v>7818</v>
      </c>
      <c r="BI19" s="1">
        <v>0.48666978</v>
      </c>
      <c r="BJ19">
        <v>7818</v>
      </c>
      <c r="BK19" s="5">
        <v>16</v>
      </c>
      <c r="BL19">
        <v>7546</v>
      </c>
      <c r="BN19">
        <v>54</v>
      </c>
      <c r="BP19">
        <v>54</v>
      </c>
      <c r="BR19">
        <v>54</v>
      </c>
      <c r="BT19">
        <v>15</v>
      </c>
      <c r="BV19">
        <v>15</v>
      </c>
      <c r="BX19">
        <v>15</v>
      </c>
    </row>
    <row r="20" spans="1:76" x14ac:dyDescent="0.25">
      <c r="A20">
        <v>18</v>
      </c>
      <c r="B20">
        <v>94</v>
      </c>
      <c r="C20">
        <v>30</v>
      </c>
      <c r="D20">
        <v>92</v>
      </c>
      <c r="E20">
        <v>26</v>
      </c>
      <c r="F20">
        <v>86</v>
      </c>
      <c r="G20">
        <v>69</v>
      </c>
      <c r="H20">
        <v>27</v>
      </c>
      <c r="I20">
        <v>91</v>
      </c>
      <c r="J20">
        <v>82</v>
      </c>
      <c r="K20">
        <v>45</v>
      </c>
      <c r="L20">
        <v>83</v>
      </c>
      <c r="M20">
        <v>36</v>
      </c>
      <c r="N20">
        <v>76</v>
      </c>
      <c r="O20">
        <v>58</v>
      </c>
      <c r="P20">
        <v>80</v>
      </c>
      <c r="Q20">
        <v>24</v>
      </c>
      <c r="R20">
        <v>87</v>
      </c>
      <c r="S20">
        <v>61</v>
      </c>
      <c r="T20">
        <v>54</v>
      </c>
      <c r="U20">
        <v>4</v>
      </c>
      <c r="X20">
        <v>18</v>
      </c>
      <c r="Y20">
        <f t="shared" si="3"/>
        <v>942</v>
      </c>
      <c r="Z20">
        <f t="shared" si="4"/>
        <v>1020</v>
      </c>
      <c r="AA20">
        <f t="shared" si="5"/>
        <v>1220</v>
      </c>
      <c r="AB20">
        <f t="shared" si="6"/>
        <v>1284</v>
      </c>
      <c r="AC20">
        <f t="shared" si="7"/>
        <v>1398</v>
      </c>
      <c r="AD20">
        <f t="shared" si="8"/>
        <v>1467</v>
      </c>
      <c r="AE20">
        <f t="shared" si="9"/>
        <v>1557</v>
      </c>
      <c r="AF20">
        <f t="shared" si="10"/>
        <v>1676</v>
      </c>
      <c r="AG20">
        <f t="shared" si="11"/>
        <v>1758</v>
      </c>
      <c r="AH20">
        <f t="shared" si="12"/>
        <v>1803</v>
      </c>
      <c r="AI20">
        <f t="shared" si="13"/>
        <v>1886</v>
      </c>
      <c r="AJ20">
        <f t="shared" si="14"/>
        <v>1922</v>
      </c>
      <c r="AK20">
        <f t="shared" si="15"/>
        <v>1998</v>
      </c>
      <c r="AL20">
        <f t="shared" si="16"/>
        <v>2056</v>
      </c>
      <c r="AM20">
        <f t="shared" si="17"/>
        <v>2136</v>
      </c>
      <c r="AN20">
        <f t="shared" si="18"/>
        <v>2160</v>
      </c>
      <c r="AO20">
        <f t="shared" si="19"/>
        <v>2247</v>
      </c>
      <c r="AP20">
        <f t="shared" si="20"/>
        <v>2308</v>
      </c>
      <c r="AQ20">
        <f t="shared" si="21"/>
        <v>2411</v>
      </c>
      <c r="AR20">
        <f t="shared" si="22"/>
        <v>2415</v>
      </c>
      <c r="AX20">
        <v>18</v>
      </c>
      <c r="AY20">
        <v>8000</v>
      </c>
      <c r="AZ20">
        <f t="shared" si="0"/>
        <v>244.22687500000001</v>
      </c>
      <c r="BA20">
        <f t="shared" si="1"/>
        <v>3.9062583173961564E-3</v>
      </c>
      <c r="BB20">
        <f t="shared" si="2"/>
        <v>7.1919464535668665E-2</v>
      </c>
      <c r="BD20">
        <v>0.50608248</v>
      </c>
      <c r="BE20">
        <v>179</v>
      </c>
      <c r="BF20">
        <v>7612</v>
      </c>
      <c r="BG20" s="5">
        <v>18</v>
      </c>
      <c r="BH20">
        <v>8000</v>
      </c>
      <c r="BI20" s="1">
        <v>7.9766690000000001E-2</v>
      </c>
      <c r="BJ20">
        <v>8000</v>
      </c>
      <c r="BK20" s="5">
        <v>242</v>
      </c>
      <c r="BL20">
        <v>7547</v>
      </c>
      <c r="BN20">
        <v>21</v>
      </c>
      <c r="BP20">
        <v>21</v>
      </c>
      <c r="BR20">
        <v>21</v>
      </c>
      <c r="BT20">
        <v>54</v>
      </c>
      <c r="BV20">
        <v>54</v>
      </c>
      <c r="BX20">
        <v>41</v>
      </c>
    </row>
    <row r="21" spans="1:76" x14ac:dyDescent="0.25">
      <c r="A21">
        <v>19</v>
      </c>
      <c r="B21">
        <v>28</v>
      </c>
      <c r="C21">
        <v>7</v>
      </c>
      <c r="D21">
        <v>74</v>
      </c>
      <c r="E21">
        <v>89</v>
      </c>
      <c r="F21">
        <v>29</v>
      </c>
      <c r="G21">
        <v>66</v>
      </c>
      <c r="H21">
        <v>69</v>
      </c>
      <c r="I21">
        <v>96</v>
      </c>
      <c r="J21">
        <v>2</v>
      </c>
      <c r="K21">
        <v>31</v>
      </c>
      <c r="L21">
        <v>14</v>
      </c>
      <c r="M21">
        <v>21</v>
      </c>
      <c r="N21">
        <v>42</v>
      </c>
      <c r="O21">
        <v>24</v>
      </c>
      <c r="P21">
        <v>5</v>
      </c>
      <c r="Q21">
        <v>18</v>
      </c>
      <c r="R21">
        <v>73</v>
      </c>
      <c r="S21">
        <v>52</v>
      </c>
      <c r="T21">
        <v>40</v>
      </c>
      <c r="U21">
        <v>87</v>
      </c>
      <c r="X21">
        <v>19</v>
      </c>
      <c r="Y21">
        <f t="shared" si="3"/>
        <v>970</v>
      </c>
      <c r="Z21">
        <f t="shared" si="4"/>
        <v>1027</v>
      </c>
      <c r="AA21">
        <f t="shared" si="5"/>
        <v>1294</v>
      </c>
      <c r="AB21">
        <f t="shared" si="6"/>
        <v>1383</v>
      </c>
      <c r="AC21">
        <f t="shared" si="7"/>
        <v>1427</v>
      </c>
      <c r="AD21">
        <f t="shared" si="8"/>
        <v>1533</v>
      </c>
      <c r="AE21">
        <f t="shared" si="9"/>
        <v>1626</v>
      </c>
      <c r="AF21">
        <f t="shared" si="10"/>
        <v>1772</v>
      </c>
      <c r="AG21">
        <f t="shared" si="11"/>
        <v>1774</v>
      </c>
      <c r="AH21">
        <f t="shared" si="12"/>
        <v>1834</v>
      </c>
      <c r="AI21">
        <f t="shared" si="13"/>
        <v>1900</v>
      </c>
      <c r="AJ21">
        <f t="shared" si="14"/>
        <v>1943</v>
      </c>
      <c r="AK21">
        <f t="shared" si="15"/>
        <v>2040</v>
      </c>
      <c r="AL21">
        <f t="shared" si="16"/>
        <v>2080</v>
      </c>
      <c r="AM21">
        <f t="shared" si="17"/>
        <v>2141</v>
      </c>
      <c r="AN21">
        <f t="shared" si="18"/>
        <v>2178</v>
      </c>
      <c r="AO21">
        <f t="shared" si="19"/>
        <v>2320</v>
      </c>
      <c r="AP21">
        <f t="shared" si="20"/>
        <v>2372</v>
      </c>
      <c r="AQ21">
        <f t="shared" si="21"/>
        <v>2451</v>
      </c>
      <c r="AR21">
        <f t="shared" si="22"/>
        <v>2538</v>
      </c>
      <c r="AX21">
        <v>19</v>
      </c>
      <c r="AY21">
        <v>7475</v>
      </c>
      <c r="AZ21">
        <f t="shared" si="0"/>
        <v>261.37993311036792</v>
      </c>
      <c r="BA21">
        <f t="shared" si="1"/>
        <v>4.1806109082500667E-3</v>
      </c>
      <c r="BB21">
        <f t="shared" si="2"/>
        <v>7.6100075443918724E-2</v>
      </c>
      <c r="BD21">
        <v>0.26634060999999998</v>
      </c>
      <c r="BE21">
        <v>187</v>
      </c>
      <c r="BF21">
        <v>7701</v>
      </c>
      <c r="BG21" s="5">
        <v>19</v>
      </c>
      <c r="BH21">
        <v>7475</v>
      </c>
      <c r="BI21" s="1">
        <v>0.33386219</v>
      </c>
      <c r="BJ21">
        <v>7475</v>
      </c>
      <c r="BK21" s="5">
        <v>167</v>
      </c>
      <c r="BL21">
        <v>7553</v>
      </c>
      <c r="BN21">
        <v>34</v>
      </c>
      <c r="BP21">
        <v>34</v>
      </c>
      <c r="BR21">
        <v>34</v>
      </c>
      <c r="BT21">
        <v>76</v>
      </c>
      <c r="BV21">
        <v>76</v>
      </c>
      <c r="BX21">
        <v>84</v>
      </c>
    </row>
    <row r="22" spans="1:76" x14ac:dyDescent="0.25">
      <c r="A22">
        <v>20</v>
      </c>
      <c r="B22">
        <v>42</v>
      </c>
      <c r="C22">
        <v>63</v>
      </c>
      <c r="D22">
        <v>28</v>
      </c>
      <c r="E22">
        <v>54</v>
      </c>
      <c r="F22">
        <v>71</v>
      </c>
      <c r="G22">
        <v>64</v>
      </c>
      <c r="H22">
        <v>23</v>
      </c>
      <c r="I22">
        <v>74</v>
      </c>
      <c r="J22">
        <v>84</v>
      </c>
      <c r="K22">
        <v>10</v>
      </c>
      <c r="L22">
        <v>84</v>
      </c>
      <c r="M22">
        <v>37</v>
      </c>
      <c r="N22">
        <v>51</v>
      </c>
      <c r="O22">
        <v>69</v>
      </c>
      <c r="P22">
        <v>37</v>
      </c>
      <c r="Q22">
        <v>60</v>
      </c>
      <c r="R22">
        <v>52</v>
      </c>
      <c r="S22">
        <v>63</v>
      </c>
      <c r="T22">
        <v>30</v>
      </c>
      <c r="U22">
        <v>61</v>
      </c>
      <c r="X22">
        <v>20</v>
      </c>
      <c r="Y22">
        <f t="shared" si="3"/>
        <v>1012</v>
      </c>
      <c r="Z22">
        <f t="shared" si="4"/>
        <v>1090</v>
      </c>
      <c r="AA22">
        <f t="shared" si="5"/>
        <v>1322</v>
      </c>
      <c r="AB22">
        <f t="shared" si="6"/>
        <v>1437</v>
      </c>
      <c r="AC22">
        <f t="shared" si="7"/>
        <v>1508</v>
      </c>
      <c r="AD22">
        <f t="shared" si="8"/>
        <v>1597</v>
      </c>
      <c r="AE22">
        <f t="shared" si="9"/>
        <v>1649</v>
      </c>
      <c r="AF22">
        <f t="shared" si="10"/>
        <v>1846</v>
      </c>
      <c r="AG22">
        <f t="shared" si="11"/>
        <v>1930</v>
      </c>
      <c r="AH22">
        <f t="shared" si="12"/>
        <v>1940</v>
      </c>
      <c r="AI22">
        <f t="shared" si="13"/>
        <v>2024</v>
      </c>
      <c r="AJ22">
        <f t="shared" si="14"/>
        <v>2061</v>
      </c>
      <c r="AK22">
        <f t="shared" si="15"/>
        <v>2112</v>
      </c>
      <c r="AL22">
        <f t="shared" si="16"/>
        <v>2181</v>
      </c>
      <c r="AM22">
        <f t="shared" si="17"/>
        <v>2218</v>
      </c>
      <c r="AN22">
        <f t="shared" si="18"/>
        <v>2278</v>
      </c>
      <c r="AO22">
        <f t="shared" si="19"/>
        <v>2372</v>
      </c>
      <c r="AP22">
        <f t="shared" si="20"/>
        <v>2435</v>
      </c>
      <c r="AQ22">
        <f t="shared" si="21"/>
        <v>2481</v>
      </c>
      <c r="AR22">
        <f t="shared" si="22"/>
        <v>2599</v>
      </c>
      <c r="AX22">
        <v>20</v>
      </c>
      <c r="AY22">
        <v>7599</v>
      </c>
      <c r="AZ22">
        <f t="shared" si="0"/>
        <v>257.11475194104486</v>
      </c>
      <c r="BA22">
        <f t="shared" si="1"/>
        <v>4.1123919646228772E-3</v>
      </c>
      <c r="BB22">
        <f t="shared" si="2"/>
        <v>8.0212467408541599E-2</v>
      </c>
      <c r="BD22">
        <v>0.72720437999999998</v>
      </c>
      <c r="BE22">
        <v>70</v>
      </c>
      <c r="BF22">
        <v>7621</v>
      </c>
      <c r="BG22" s="5">
        <v>20</v>
      </c>
      <c r="BH22">
        <v>7599</v>
      </c>
      <c r="BI22" s="1">
        <v>0.65891701000000003</v>
      </c>
      <c r="BJ22">
        <v>7599</v>
      </c>
      <c r="BK22" s="5">
        <v>105</v>
      </c>
      <c r="BL22">
        <v>7555</v>
      </c>
      <c r="BN22">
        <v>80</v>
      </c>
      <c r="BP22">
        <v>80</v>
      </c>
      <c r="BR22">
        <v>80</v>
      </c>
      <c r="BT22">
        <v>3</v>
      </c>
      <c r="BV22">
        <v>3</v>
      </c>
      <c r="BX22">
        <v>82</v>
      </c>
    </row>
    <row r="23" spans="1:76" x14ac:dyDescent="0.25">
      <c r="A23">
        <v>21</v>
      </c>
      <c r="B23">
        <v>81</v>
      </c>
      <c r="C23">
        <v>43</v>
      </c>
      <c r="D23">
        <v>23</v>
      </c>
      <c r="E23">
        <v>5</v>
      </c>
      <c r="F23">
        <v>23</v>
      </c>
      <c r="G23">
        <v>90</v>
      </c>
      <c r="H23">
        <v>60</v>
      </c>
      <c r="I23">
        <v>30</v>
      </c>
      <c r="J23">
        <v>90</v>
      </c>
      <c r="K23">
        <v>67</v>
      </c>
      <c r="L23">
        <v>65</v>
      </c>
      <c r="M23">
        <v>24</v>
      </c>
      <c r="N23">
        <v>9</v>
      </c>
      <c r="O23">
        <v>7</v>
      </c>
      <c r="P23">
        <v>33</v>
      </c>
      <c r="Q23">
        <v>71</v>
      </c>
      <c r="R23">
        <v>94</v>
      </c>
      <c r="S23">
        <v>83</v>
      </c>
      <c r="T23">
        <v>21</v>
      </c>
      <c r="U23">
        <v>96</v>
      </c>
      <c r="X23">
        <v>21</v>
      </c>
      <c r="Y23">
        <f t="shared" si="3"/>
        <v>1093</v>
      </c>
      <c r="Z23">
        <f t="shared" si="4"/>
        <v>1136</v>
      </c>
      <c r="AA23">
        <f t="shared" si="5"/>
        <v>1345</v>
      </c>
      <c r="AB23">
        <f t="shared" si="6"/>
        <v>1442</v>
      </c>
      <c r="AC23">
        <f t="shared" si="7"/>
        <v>1531</v>
      </c>
      <c r="AD23">
        <f t="shared" si="8"/>
        <v>1687</v>
      </c>
      <c r="AE23">
        <f t="shared" si="9"/>
        <v>1747</v>
      </c>
      <c r="AF23">
        <f t="shared" si="10"/>
        <v>1876</v>
      </c>
      <c r="AG23">
        <f t="shared" si="11"/>
        <v>2020</v>
      </c>
      <c r="AH23">
        <f t="shared" si="12"/>
        <v>2087</v>
      </c>
      <c r="AI23">
        <f t="shared" si="13"/>
        <v>2152</v>
      </c>
      <c r="AJ23">
        <f t="shared" si="14"/>
        <v>2176</v>
      </c>
      <c r="AK23">
        <f t="shared" si="15"/>
        <v>2185</v>
      </c>
      <c r="AL23">
        <f t="shared" si="16"/>
        <v>2192</v>
      </c>
      <c r="AM23">
        <f t="shared" si="17"/>
        <v>2251</v>
      </c>
      <c r="AN23">
        <f t="shared" si="18"/>
        <v>2349</v>
      </c>
      <c r="AO23">
        <f t="shared" si="19"/>
        <v>2466</v>
      </c>
      <c r="AP23">
        <f t="shared" si="20"/>
        <v>2549</v>
      </c>
      <c r="AQ23">
        <f t="shared" si="21"/>
        <v>2570</v>
      </c>
      <c r="AR23">
        <f t="shared" si="22"/>
        <v>2695</v>
      </c>
      <c r="AX23">
        <v>21</v>
      </c>
      <c r="AY23">
        <v>7594</v>
      </c>
      <c r="AZ23">
        <f t="shared" si="0"/>
        <v>257.28404003160392</v>
      </c>
      <c r="BA23">
        <f t="shared" si="1"/>
        <v>4.1150996232774892E-3</v>
      </c>
      <c r="BB23">
        <f t="shared" si="2"/>
        <v>8.4327567031819095E-2</v>
      </c>
      <c r="BD23">
        <v>0.55719852000000003</v>
      </c>
      <c r="BE23">
        <v>97</v>
      </c>
      <c r="BF23">
        <v>7656</v>
      </c>
      <c r="BG23" s="5">
        <v>21</v>
      </c>
      <c r="BH23">
        <v>7594</v>
      </c>
      <c r="BI23" s="1">
        <v>0.85922860999999995</v>
      </c>
      <c r="BJ23">
        <v>7594</v>
      </c>
      <c r="BK23" s="5">
        <v>187</v>
      </c>
      <c r="BL23">
        <v>7569</v>
      </c>
      <c r="BN23">
        <v>84</v>
      </c>
      <c r="BP23">
        <v>84</v>
      </c>
      <c r="BR23">
        <v>84</v>
      </c>
      <c r="BT23">
        <v>96</v>
      </c>
      <c r="BV23">
        <v>96</v>
      </c>
      <c r="BX23">
        <v>53</v>
      </c>
    </row>
    <row r="24" spans="1:76" x14ac:dyDescent="0.25">
      <c r="A24">
        <v>22</v>
      </c>
      <c r="B24">
        <v>97</v>
      </c>
      <c r="C24">
        <v>29</v>
      </c>
      <c r="D24">
        <v>33</v>
      </c>
      <c r="E24">
        <v>27</v>
      </c>
      <c r="F24">
        <v>15</v>
      </c>
      <c r="G24">
        <v>60</v>
      </c>
      <c r="H24">
        <v>7</v>
      </c>
      <c r="I24">
        <v>68</v>
      </c>
      <c r="J24">
        <v>8</v>
      </c>
      <c r="K24">
        <v>21</v>
      </c>
      <c r="L24">
        <v>1</v>
      </c>
      <c r="M24">
        <v>53</v>
      </c>
      <c r="N24">
        <v>56</v>
      </c>
      <c r="O24">
        <v>74</v>
      </c>
      <c r="P24">
        <v>70</v>
      </c>
      <c r="Q24">
        <v>50</v>
      </c>
      <c r="R24">
        <v>56</v>
      </c>
      <c r="S24">
        <v>60</v>
      </c>
      <c r="T24">
        <v>49</v>
      </c>
      <c r="U24">
        <v>9</v>
      </c>
      <c r="X24">
        <v>22</v>
      </c>
      <c r="Y24">
        <f t="shared" si="3"/>
        <v>1190</v>
      </c>
      <c r="Z24">
        <f t="shared" si="4"/>
        <v>1219</v>
      </c>
      <c r="AA24">
        <f t="shared" si="5"/>
        <v>1378</v>
      </c>
      <c r="AB24">
        <f t="shared" si="6"/>
        <v>1469</v>
      </c>
      <c r="AC24">
        <f t="shared" si="7"/>
        <v>1546</v>
      </c>
      <c r="AD24">
        <f t="shared" si="8"/>
        <v>1747</v>
      </c>
      <c r="AE24">
        <f t="shared" si="9"/>
        <v>1754</v>
      </c>
      <c r="AF24">
        <f t="shared" si="10"/>
        <v>1944</v>
      </c>
      <c r="AG24">
        <f t="shared" si="11"/>
        <v>2028</v>
      </c>
      <c r="AH24">
        <f t="shared" si="12"/>
        <v>2108</v>
      </c>
      <c r="AI24">
        <f t="shared" si="13"/>
        <v>2153</v>
      </c>
      <c r="AJ24">
        <f t="shared" si="14"/>
        <v>2229</v>
      </c>
      <c r="AK24">
        <f t="shared" si="15"/>
        <v>2285</v>
      </c>
      <c r="AL24">
        <f t="shared" si="16"/>
        <v>2359</v>
      </c>
      <c r="AM24">
        <f t="shared" si="17"/>
        <v>2429</v>
      </c>
      <c r="AN24">
        <f t="shared" si="18"/>
        <v>2479</v>
      </c>
      <c r="AO24">
        <f t="shared" si="19"/>
        <v>2535</v>
      </c>
      <c r="AP24">
        <f t="shared" si="20"/>
        <v>2609</v>
      </c>
      <c r="AQ24">
        <f t="shared" si="21"/>
        <v>2658</v>
      </c>
      <c r="AR24">
        <f t="shared" si="22"/>
        <v>2704</v>
      </c>
      <c r="AX24">
        <v>22</v>
      </c>
      <c r="AY24">
        <v>7909</v>
      </c>
      <c r="AZ24">
        <f t="shared" si="0"/>
        <v>247.0369199645973</v>
      </c>
      <c r="BA24">
        <f t="shared" si="1"/>
        <v>3.9512032544151282E-3</v>
      </c>
      <c r="BB24">
        <f t="shared" si="2"/>
        <v>8.8278770286234223E-2</v>
      </c>
      <c r="BD24">
        <v>0.11695975</v>
      </c>
      <c r="BE24">
        <v>22</v>
      </c>
      <c r="BF24">
        <v>7974</v>
      </c>
      <c r="BG24" s="5">
        <v>22</v>
      </c>
      <c r="BH24">
        <v>7909</v>
      </c>
      <c r="BI24" s="1">
        <v>0.41936558000000002</v>
      </c>
      <c r="BJ24">
        <v>7909</v>
      </c>
      <c r="BK24" s="5">
        <v>17</v>
      </c>
      <c r="BL24">
        <v>7578</v>
      </c>
      <c r="BN24">
        <v>58</v>
      </c>
      <c r="BP24">
        <v>58</v>
      </c>
      <c r="BR24">
        <v>58</v>
      </c>
      <c r="BT24">
        <v>50</v>
      </c>
      <c r="BV24">
        <v>50</v>
      </c>
      <c r="BX24">
        <v>27</v>
      </c>
    </row>
    <row r="25" spans="1:76" x14ac:dyDescent="0.25">
      <c r="A25">
        <v>23</v>
      </c>
      <c r="B25">
        <v>33</v>
      </c>
      <c r="C25">
        <v>96</v>
      </c>
      <c r="D25">
        <v>44</v>
      </c>
      <c r="E25">
        <v>80</v>
      </c>
      <c r="F25">
        <v>62</v>
      </c>
      <c r="G25">
        <v>31</v>
      </c>
      <c r="H25">
        <v>95</v>
      </c>
      <c r="I25">
        <v>14</v>
      </c>
      <c r="J25">
        <v>61</v>
      </c>
      <c r="K25">
        <v>25</v>
      </c>
      <c r="L25">
        <v>77</v>
      </c>
      <c r="M25">
        <v>26</v>
      </c>
      <c r="N25">
        <v>17</v>
      </c>
      <c r="O25">
        <v>48</v>
      </c>
      <c r="P25">
        <v>32</v>
      </c>
      <c r="Q25">
        <v>68</v>
      </c>
      <c r="R25">
        <v>94</v>
      </c>
      <c r="S25">
        <v>46</v>
      </c>
      <c r="T25">
        <v>3</v>
      </c>
      <c r="U25">
        <v>99</v>
      </c>
      <c r="X25">
        <v>23</v>
      </c>
      <c r="Y25">
        <f t="shared" si="3"/>
        <v>1223</v>
      </c>
      <c r="Z25">
        <f t="shared" si="4"/>
        <v>1319</v>
      </c>
      <c r="AA25">
        <f t="shared" si="5"/>
        <v>1422</v>
      </c>
      <c r="AB25">
        <f t="shared" si="6"/>
        <v>1549</v>
      </c>
      <c r="AC25">
        <f t="shared" si="7"/>
        <v>1611</v>
      </c>
      <c r="AD25">
        <f t="shared" si="8"/>
        <v>1778</v>
      </c>
      <c r="AE25">
        <f t="shared" si="9"/>
        <v>1873</v>
      </c>
      <c r="AF25">
        <f t="shared" si="10"/>
        <v>1958</v>
      </c>
      <c r="AG25">
        <f t="shared" si="11"/>
        <v>2089</v>
      </c>
      <c r="AH25">
        <f t="shared" si="12"/>
        <v>2133</v>
      </c>
      <c r="AI25">
        <f t="shared" si="13"/>
        <v>2230</v>
      </c>
      <c r="AJ25">
        <f t="shared" si="14"/>
        <v>2256</v>
      </c>
      <c r="AK25">
        <f t="shared" si="15"/>
        <v>2302</v>
      </c>
      <c r="AL25">
        <f t="shared" si="16"/>
        <v>2407</v>
      </c>
      <c r="AM25">
        <f t="shared" si="17"/>
        <v>2461</v>
      </c>
      <c r="AN25">
        <f t="shared" si="18"/>
        <v>2547</v>
      </c>
      <c r="AO25">
        <f t="shared" si="19"/>
        <v>2641</v>
      </c>
      <c r="AP25">
        <f t="shared" si="20"/>
        <v>2687</v>
      </c>
      <c r="AQ25">
        <f t="shared" si="21"/>
        <v>2690</v>
      </c>
      <c r="AR25">
        <f t="shared" si="22"/>
        <v>2803</v>
      </c>
      <c r="AX25">
        <v>23</v>
      </c>
      <c r="AY25">
        <v>7604</v>
      </c>
      <c r="AZ25">
        <f t="shared" si="0"/>
        <v>256.94568648079957</v>
      </c>
      <c r="BA25">
        <f t="shared" si="1"/>
        <v>4.1096878668028993E-3</v>
      </c>
      <c r="BB25">
        <f t="shared" si="2"/>
        <v>9.2388458153037117E-2</v>
      </c>
      <c r="BD25">
        <v>0.22594512</v>
      </c>
      <c r="BE25">
        <v>16</v>
      </c>
      <c r="BF25">
        <v>7776</v>
      </c>
      <c r="BG25" s="5">
        <v>23</v>
      </c>
      <c r="BH25">
        <v>7604</v>
      </c>
      <c r="BI25" s="1">
        <v>0.19323932999999999</v>
      </c>
      <c r="BJ25">
        <v>7604</v>
      </c>
      <c r="BK25" s="5">
        <v>72</v>
      </c>
      <c r="BL25">
        <v>7579</v>
      </c>
      <c r="BN25">
        <v>52</v>
      </c>
      <c r="BP25">
        <v>52</v>
      </c>
      <c r="BR25">
        <v>52</v>
      </c>
      <c r="BT25">
        <v>29</v>
      </c>
      <c r="BV25">
        <v>29</v>
      </c>
      <c r="BX25">
        <v>69</v>
      </c>
    </row>
    <row r="26" spans="1:76" x14ac:dyDescent="0.25">
      <c r="A26">
        <v>24</v>
      </c>
      <c r="B26">
        <v>5</v>
      </c>
      <c r="C26">
        <v>25</v>
      </c>
      <c r="D26">
        <v>77</v>
      </c>
      <c r="E26">
        <v>42</v>
      </c>
      <c r="F26">
        <v>73</v>
      </c>
      <c r="G26">
        <v>36</v>
      </c>
      <c r="H26">
        <v>56</v>
      </c>
      <c r="I26">
        <v>36</v>
      </c>
      <c r="J26">
        <v>53</v>
      </c>
      <c r="K26">
        <v>14</v>
      </c>
      <c r="L26">
        <v>35</v>
      </c>
      <c r="M26">
        <v>45</v>
      </c>
      <c r="N26">
        <v>39</v>
      </c>
      <c r="O26">
        <v>61</v>
      </c>
      <c r="P26">
        <v>15</v>
      </c>
      <c r="Q26">
        <v>42</v>
      </c>
      <c r="R26">
        <v>44</v>
      </c>
      <c r="S26">
        <v>56</v>
      </c>
      <c r="T26">
        <v>17</v>
      </c>
      <c r="U26">
        <v>39</v>
      </c>
      <c r="X26">
        <v>24</v>
      </c>
      <c r="Y26">
        <f t="shared" si="3"/>
        <v>1228</v>
      </c>
      <c r="Z26">
        <f t="shared" si="4"/>
        <v>1344</v>
      </c>
      <c r="AA26">
        <f t="shared" si="5"/>
        <v>1499</v>
      </c>
      <c r="AB26">
        <f t="shared" si="6"/>
        <v>1591</v>
      </c>
      <c r="AC26">
        <f t="shared" si="7"/>
        <v>1684</v>
      </c>
      <c r="AD26">
        <f t="shared" si="8"/>
        <v>1814</v>
      </c>
      <c r="AE26">
        <f t="shared" si="9"/>
        <v>1929</v>
      </c>
      <c r="AF26">
        <f t="shared" si="10"/>
        <v>1994</v>
      </c>
      <c r="AG26">
        <f t="shared" si="11"/>
        <v>2142</v>
      </c>
      <c r="AH26">
        <f t="shared" si="12"/>
        <v>2156</v>
      </c>
      <c r="AI26">
        <f t="shared" si="13"/>
        <v>2265</v>
      </c>
      <c r="AJ26">
        <f t="shared" si="14"/>
        <v>2310</v>
      </c>
      <c r="AK26">
        <f t="shared" si="15"/>
        <v>2349</v>
      </c>
      <c r="AL26">
        <f t="shared" si="16"/>
        <v>2468</v>
      </c>
      <c r="AM26">
        <f t="shared" si="17"/>
        <v>2483</v>
      </c>
      <c r="AN26">
        <f t="shared" si="18"/>
        <v>2589</v>
      </c>
      <c r="AO26">
        <f t="shared" si="19"/>
        <v>2685</v>
      </c>
      <c r="AP26">
        <f t="shared" si="20"/>
        <v>2743</v>
      </c>
      <c r="AQ26">
        <f t="shared" si="21"/>
        <v>2760</v>
      </c>
      <c r="AR26">
        <f t="shared" si="22"/>
        <v>2842</v>
      </c>
      <c r="AX26">
        <v>24</v>
      </c>
      <c r="AY26">
        <v>7517</v>
      </c>
      <c r="AZ26">
        <f t="shared" si="0"/>
        <v>259.91951576426766</v>
      </c>
      <c r="BA26">
        <f t="shared" si="1"/>
        <v>4.1572524330410069E-3</v>
      </c>
      <c r="BB26">
        <f t="shared" si="2"/>
        <v>9.6545710586078123E-2</v>
      </c>
      <c r="BD26">
        <v>0.72168189000000005</v>
      </c>
      <c r="BE26">
        <v>42</v>
      </c>
      <c r="BF26">
        <v>7644</v>
      </c>
      <c r="BG26" s="5">
        <v>24</v>
      </c>
      <c r="BH26">
        <v>7517</v>
      </c>
      <c r="BI26" s="1">
        <v>0.69626409</v>
      </c>
      <c r="BJ26">
        <v>7517</v>
      </c>
      <c r="BK26" s="5">
        <v>154</v>
      </c>
      <c r="BL26">
        <v>7579</v>
      </c>
      <c r="BN26">
        <v>50</v>
      </c>
      <c r="BP26">
        <v>50</v>
      </c>
      <c r="BR26">
        <v>50</v>
      </c>
      <c r="BT26">
        <v>26</v>
      </c>
      <c r="BV26">
        <v>26</v>
      </c>
      <c r="BX26">
        <v>26</v>
      </c>
    </row>
    <row r="27" spans="1:76" x14ac:dyDescent="0.25">
      <c r="A27">
        <v>25</v>
      </c>
      <c r="B27">
        <v>88</v>
      </c>
      <c r="C27">
        <v>73</v>
      </c>
      <c r="D27">
        <v>62</v>
      </c>
      <c r="E27">
        <v>46</v>
      </c>
      <c r="F27">
        <v>84</v>
      </c>
      <c r="G27">
        <v>25</v>
      </c>
      <c r="H27">
        <v>89</v>
      </c>
      <c r="I27">
        <v>74</v>
      </c>
      <c r="J27">
        <v>84</v>
      </c>
      <c r="K27">
        <v>9</v>
      </c>
      <c r="L27">
        <v>42</v>
      </c>
      <c r="M27">
        <v>99</v>
      </c>
      <c r="N27">
        <v>79</v>
      </c>
      <c r="O27">
        <v>33</v>
      </c>
      <c r="P27">
        <v>28</v>
      </c>
      <c r="Q27">
        <v>41</v>
      </c>
      <c r="R27">
        <v>55</v>
      </c>
      <c r="S27">
        <v>70</v>
      </c>
      <c r="T27">
        <v>72</v>
      </c>
      <c r="U27">
        <v>83</v>
      </c>
      <c r="X27">
        <v>25</v>
      </c>
      <c r="Y27">
        <f t="shared" si="3"/>
        <v>1316</v>
      </c>
      <c r="Z27">
        <f t="shared" si="4"/>
        <v>1417</v>
      </c>
      <c r="AA27">
        <f t="shared" si="5"/>
        <v>1561</v>
      </c>
      <c r="AB27">
        <f t="shared" si="6"/>
        <v>1637</v>
      </c>
      <c r="AC27">
        <f t="shared" si="7"/>
        <v>1768</v>
      </c>
      <c r="AD27">
        <f t="shared" si="8"/>
        <v>1839</v>
      </c>
      <c r="AE27">
        <f t="shared" si="9"/>
        <v>2018</v>
      </c>
      <c r="AF27">
        <f t="shared" si="10"/>
        <v>2092</v>
      </c>
      <c r="AG27">
        <f t="shared" si="11"/>
        <v>2226</v>
      </c>
      <c r="AH27">
        <f t="shared" si="12"/>
        <v>2235</v>
      </c>
      <c r="AI27">
        <f t="shared" si="13"/>
        <v>2307</v>
      </c>
      <c r="AJ27">
        <f t="shared" si="14"/>
        <v>2409</v>
      </c>
      <c r="AK27">
        <f t="shared" si="15"/>
        <v>2488</v>
      </c>
      <c r="AL27">
        <f t="shared" si="16"/>
        <v>2521</v>
      </c>
      <c r="AM27">
        <f t="shared" si="17"/>
        <v>2549</v>
      </c>
      <c r="AN27">
        <f t="shared" si="18"/>
        <v>2630</v>
      </c>
      <c r="AO27">
        <f t="shared" si="19"/>
        <v>2740</v>
      </c>
      <c r="AP27">
        <f t="shared" si="20"/>
        <v>2813</v>
      </c>
      <c r="AQ27">
        <f t="shared" si="21"/>
        <v>2885</v>
      </c>
      <c r="AR27">
        <f t="shared" si="22"/>
        <v>2968</v>
      </c>
      <c r="AX27">
        <v>25</v>
      </c>
      <c r="AY27">
        <v>7907</v>
      </c>
      <c r="AZ27">
        <f t="shared" si="0"/>
        <v>247.09940558998355</v>
      </c>
      <c r="BA27">
        <f t="shared" si="1"/>
        <v>3.9522026734753061E-3</v>
      </c>
      <c r="BB27">
        <f t="shared" si="2"/>
        <v>0.10049791325955343</v>
      </c>
      <c r="BD27">
        <v>0.20389294999999999</v>
      </c>
      <c r="BE27">
        <v>7</v>
      </c>
      <c r="BF27">
        <v>7700</v>
      </c>
      <c r="BG27" s="5">
        <v>25</v>
      </c>
      <c r="BH27">
        <v>7907</v>
      </c>
      <c r="BI27" s="1">
        <v>0.15075183</v>
      </c>
      <c r="BJ27">
        <v>7907</v>
      </c>
      <c r="BK27" s="5">
        <v>176</v>
      </c>
      <c r="BL27">
        <v>7580</v>
      </c>
      <c r="BN27">
        <v>4</v>
      </c>
      <c r="BP27">
        <v>4</v>
      </c>
      <c r="BR27">
        <v>4</v>
      </c>
      <c r="BT27">
        <v>27</v>
      </c>
      <c r="BV27">
        <v>27</v>
      </c>
      <c r="BX27">
        <v>1</v>
      </c>
    </row>
    <row r="28" spans="1:76" x14ac:dyDescent="0.25">
      <c r="A28">
        <v>26</v>
      </c>
      <c r="B28">
        <v>29</v>
      </c>
      <c r="C28">
        <v>19</v>
      </c>
      <c r="D28">
        <v>59</v>
      </c>
      <c r="E28">
        <v>93</v>
      </c>
      <c r="F28">
        <v>93</v>
      </c>
      <c r="G28">
        <v>89</v>
      </c>
      <c r="H28">
        <v>14</v>
      </c>
      <c r="I28">
        <v>83</v>
      </c>
      <c r="J28">
        <v>2</v>
      </c>
      <c r="K28">
        <v>4</v>
      </c>
      <c r="L28">
        <v>99</v>
      </c>
      <c r="M28">
        <v>8</v>
      </c>
      <c r="N28">
        <v>27</v>
      </c>
      <c r="O28">
        <v>66</v>
      </c>
      <c r="P28">
        <v>99</v>
      </c>
      <c r="Q28">
        <v>50</v>
      </c>
      <c r="R28">
        <v>41</v>
      </c>
      <c r="S28">
        <v>55</v>
      </c>
      <c r="T28">
        <v>84</v>
      </c>
      <c r="U28">
        <v>14</v>
      </c>
      <c r="X28">
        <v>26</v>
      </c>
      <c r="Y28">
        <f t="shared" si="3"/>
        <v>1345</v>
      </c>
      <c r="Z28">
        <f t="shared" si="4"/>
        <v>1436</v>
      </c>
      <c r="AA28">
        <f t="shared" si="5"/>
        <v>1620</v>
      </c>
      <c r="AB28">
        <f t="shared" si="6"/>
        <v>1730</v>
      </c>
      <c r="AC28">
        <f t="shared" si="7"/>
        <v>1861</v>
      </c>
      <c r="AD28">
        <f t="shared" si="8"/>
        <v>1950</v>
      </c>
      <c r="AE28">
        <f t="shared" si="9"/>
        <v>2032</v>
      </c>
      <c r="AF28">
        <f t="shared" si="10"/>
        <v>2175</v>
      </c>
      <c r="AG28">
        <f t="shared" si="11"/>
        <v>2228</v>
      </c>
      <c r="AH28">
        <f t="shared" si="12"/>
        <v>2239</v>
      </c>
      <c r="AI28">
        <f t="shared" si="13"/>
        <v>2406</v>
      </c>
      <c r="AJ28">
        <f t="shared" si="14"/>
        <v>2417</v>
      </c>
      <c r="AK28">
        <f t="shared" si="15"/>
        <v>2515</v>
      </c>
      <c r="AL28">
        <f t="shared" si="16"/>
        <v>2587</v>
      </c>
      <c r="AM28">
        <f t="shared" si="17"/>
        <v>2686</v>
      </c>
      <c r="AN28">
        <f t="shared" si="18"/>
        <v>2736</v>
      </c>
      <c r="AO28">
        <f t="shared" si="19"/>
        <v>2781</v>
      </c>
      <c r="AP28">
        <f t="shared" si="20"/>
        <v>2868</v>
      </c>
      <c r="AQ28">
        <f t="shared" si="21"/>
        <v>2969</v>
      </c>
      <c r="AR28">
        <f t="shared" si="22"/>
        <v>2983</v>
      </c>
      <c r="AX28">
        <v>26</v>
      </c>
      <c r="AY28">
        <v>7929</v>
      </c>
      <c r="AZ28">
        <f t="shared" si="0"/>
        <v>246.41379745238996</v>
      </c>
      <c r="BA28">
        <f t="shared" si="1"/>
        <v>3.9412367939423943E-3</v>
      </c>
      <c r="BB28">
        <f t="shared" si="2"/>
        <v>0.10443915005349583</v>
      </c>
      <c r="BD28">
        <v>0.53649563</v>
      </c>
      <c r="BE28">
        <v>97</v>
      </c>
      <c r="BF28">
        <v>7656</v>
      </c>
      <c r="BG28" s="5">
        <v>26</v>
      </c>
      <c r="BH28">
        <v>7929</v>
      </c>
      <c r="BI28" s="1">
        <v>0.58410256999999999</v>
      </c>
      <c r="BJ28">
        <v>7929</v>
      </c>
      <c r="BK28" s="5">
        <v>106</v>
      </c>
      <c r="BL28">
        <v>7582</v>
      </c>
      <c r="BN28">
        <v>13</v>
      </c>
      <c r="BP28">
        <v>13</v>
      </c>
      <c r="BR28">
        <v>13</v>
      </c>
      <c r="BT28">
        <v>77</v>
      </c>
      <c r="BV28">
        <v>77</v>
      </c>
      <c r="BX28">
        <v>19</v>
      </c>
    </row>
    <row r="29" spans="1:76" x14ac:dyDescent="0.25">
      <c r="A29">
        <v>27</v>
      </c>
      <c r="B29">
        <v>99</v>
      </c>
      <c r="C29">
        <v>65</v>
      </c>
      <c r="D29">
        <v>53</v>
      </c>
      <c r="E29">
        <v>13</v>
      </c>
      <c r="F29">
        <v>38</v>
      </c>
      <c r="G29">
        <v>5</v>
      </c>
      <c r="H29">
        <v>78</v>
      </c>
      <c r="I29">
        <v>43</v>
      </c>
      <c r="J29">
        <v>86</v>
      </c>
      <c r="K29">
        <v>8</v>
      </c>
      <c r="L29">
        <v>82</v>
      </c>
      <c r="M29">
        <v>53</v>
      </c>
      <c r="N29">
        <v>39</v>
      </c>
      <c r="O29">
        <v>25</v>
      </c>
      <c r="P29">
        <v>50</v>
      </c>
      <c r="Q29">
        <v>31</v>
      </c>
      <c r="R29">
        <v>21</v>
      </c>
      <c r="S29">
        <v>75</v>
      </c>
      <c r="T29">
        <v>98</v>
      </c>
      <c r="U29">
        <v>37</v>
      </c>
      <c r="X29">
        <v>27</v>
      </c>
      <c r="Y29">
        <f t="shared" si="3"/>
        <v>1444</v>
      </c>
      <c r="Z29">
        <f t="shared" si="4"/>
        <v>1509</v>
      </c>
      <c r="AA29">
        <f t="shared" si="5"/>
        <v>1673</v>
      </c>
      <c r="AB29">
        <f t="shared" si="6"/>
        <v>1743</v>
      </c>
      <c r="AC29">
        <f t="shared" si="7"/>
        <v>1899</v>
      </c>
      <c r="AD29">
        <f t="shared" si="8"/>
        <v>1955</v>
      </c>
      <c r="AE29">
        <f t="shared" si="9"/>
        <v>2110</v>
      </c>
      <c r="AF29">
        <f t="shared" si="10"/>
        <v>2218</v>
      </c>
      <c r="AG29">
        <f t="shared" si="11"/>
        <v>2314</v>
      </c>
      <c r="AH29">
        <f t="shared" si="12"/>
        <v>2322</v>
      </c>
      <c r="AI29">
        <f t="shared" si="13"/>
        <v>2488</v>
      </c>
      <c r="AJ29">
        <f t="shared" si="14"/>
        <v>2541</v>
      </c>
      <c r="AK29">
        <f t="shared" si="15"/>
        <v>2580</v>
      </c>
      <c r="AL29">
        <f t="shared" si="16"/>
        <v>2612</v>
      </c>
      <c r="AM29">
        <f t="shared" si="17"/>
        <v>2736</v>
      </c>
      <c r="AN29">
        <f t="shared" si="18"/>
        <v>2767</v>
      </c>
      <c r="AO29">
        <f t="shared" si="19"/>
        <v>2802</v>
      </c>
      <c r="AP29">
        <f t="shared" si="20"/>
        <v>2943</v>
      </c>
      <c r="AQ29">
        <f t="shared" si="21"/>
        <v>3067</v>
      </c>
      <c r="AR29">
        <f t="shared" si="22"/>
        <v>3104</v>
      </c>
      <c r="AX29">
        <v>27</v>
      </c>
      <c r="AY29">
        <v>7879</v>
      </c>
      <c r="AZ29">
        <f t="shared" si="0"/>
        <v>247.97753522020562</v>
      </c>
      <c r="BA29">
        <f t="shared" si="1"/>
        <v>3.9662478156072154E-3</v>
      </c>
      <c r="BB29">
        <f t="shared" si="2"/>
        <v>0.10840539786910304</v>
      </c>
      <c r="BD29">
        <v>0.13848007000000001</v>
      </c>
      <c r="BE29">
        <v>101</v>
      </c>
      <c r="BF29">
        <v>7842</v>
      </c>
      <c r="BG29" s="5">
        <v>27</v>
      </c>
      <c r="BH29">
        <v>7879</v>
      </c>
      <c r="BI29" s="1">
        <v>0.83110845</v>
      </c>
      <c r="BJ29">
        <v>7879</v>
      </c>
      <c r="BK29" s="5">
        <v>56</v>
      </c>
      <c r="BL29">
        <v>7588</v>
      </c>
      <c r="BN29">
        <v>57</v>
      </c>
      <c r="BP29">
        <v>57</v>
      </c>
      <c r="BR29">
        <v>57</v>
      </c>
      <c r="BT29">
        <v>52</v>
      </c>
      <c r="BV29">
        <v>52</v>
      </c>
      <c r="BX29">
        <v>47</v>
      </c>
    </row>
    <row r="30" spans="1:76" x14ac:dyDescent="0.25">
      <c r="A30">
        <v>28</v>
      </c>
      <c r="B30">
        <v>77</v>
      </c>
      <c r="C30">
        <v>98</v>
      </c>
      <c r="D30">
        <v>13</v>
      </c>
      <c r="E30">
        <v>53</v>
      </c>
      <c r="F30">
        <v>60</v>
      </c>
      <c r="G30">
        <v>32</v>
      </c>
      <c r="H30">
        <v>48</v>
      </c>
      <c r="I30">
        <v>78</v>
      </c>
      <c r="J30">
        <v>91</v>
      </c>
      <c r="K30">
        <v>19</v>
      </c>
      <c r="L30">
        <v>26</v>
      </c>
      <c r="M30">
        <v>33</v>
      </c>
      <c r="N30">
        <v>62</v>
      </c>
      <c r="O30">
        <v>31</v>
      </c>
      <c r="P30">
        <v>86</v>
      </c>
      <c r="Q30">
        <v>69</v>
      </c>
      <c r="R30">
        <v>3</v>
      </c>
      <c r="S30">
        <v>42</v>
      </c>
      <c r="T30">
        <v>23</v>
      </c>
      <c r="U30">
        <v>86</v>
      </c>
      <c r="X30">
        <v>28</v>
      </c>
      <c r="Y30">
        <f t="shared" si="3"/>
        <v>1521</v>
      </c>
      <c r="Z30">
        <f t="shared" si="4"/>
        <v>1619</v>
      </c>
      <c r="AA30">
        <f t="shared" si="5"/>
        <v>1686</v>
      </c>
      <c r="AB30">
        <f t="shared" si="6"/>
        <v>1796</v>
      </c>
      <c r="AC30">
        <f t="shared" si="7"/>
        <v>1959</v>
      </c>
      <c r="AD30">
        <f t="shared" si="8"/>
        <v>1991</v>
      </c>
      <c r="AE30">
        <f t="shared" si="9"/>
        <v>2158</v>
      </c>
      <c r="AF30">
        <f t="shared" si="10"/>
        <v>2296</v>
      </c>
      <c r="AG30">
        <f t="shared" si="11"/>
        <v>2405</v>
      </c>
      <c r="AH30">
        <f t="shared" si="12"/>
        <v>2424</v>
      </c>
      <c r="AI30">
        <f t="shared" si="13"/>
        <v>2514</v>
      </c>
      <c r="AJ30">
        <f t="shared" si="14"/>
        <v>2574</v>
      </c>
      <c r="AK30">
        <f t="shared" si="15"/>
        <v>2642</v>
      </c>
      <c r="AL30">
        <f t="shared" si="16"/>
        <v>2673</v>
      </c>
      <c r="AM30">
        <f t="shared" si="17"/>
        <v>2822</v>
      </c>
      <c r="AN30">
        <f t="shared" si="18"/>
        <v>2891</v>
      </c>
      <c r="AO30">
        <f t="shared" si="19"/>
        <v>2894</v>
      </c>
      <c r="AP30">
        <f t="shared" si="20"/>
        <v>2985</v>
      </c>
      <c r="AQ30">
        <f t="shared" si="21"/>
        <v>3090</v>
      </c>
      <c r="AR30">
        <f t="shared" si="22"/>
        <v>3190</v>
      </c>
      <c r="AX30">
        <v>28</v>
      </c>
      <c r="AY30">
        <v>7705</v>
      </c>
      <c r="AZ30">
        <f t="shared" si="0"/>
        <v>253.57754704737184</v>
      </c>
      <c r="BA30">
        <f t="shared" si="1"/>
        <v>4.055816552779915E-3</v>
      </c>
      <c r="BB30">
        <f t="shared" si="2"/>
        <v>0.11246121442188295</v>
      </c>
      <c r="BD30">
        <v>0.72064930000000005</v>
      </c>
      <c r="BE30">
        <v>35</v>
      </c>
      <c r="BF30">
        <v>7527</v>
      </c>
      <c r="BG30" s="5">
        <v>28</v>
      </c>
      <c r="BH30">
        <v>7705</v>
      </c>
      <c r="BI30" s="1">
        <v>0.63641649</v>
      </c>
      <c r="BJ30">
        <v>7705</v>
      </c>
      <c r="BK30" s="5">
        <v>92</v>
      </c>
      <c r="BL30">
        <v>7588</v>
      </c>
      <c r="BN30">
        <v>22</v>
      </c>
      <c r="BP30">
        <v>22</v>
      </c>
      <c r="BR30">
        <v>22</v>
      </c>
      <c r="BT30">
        <v>81</v>
      </c>
      <c r="BV30">
        <v>81</v>
      </c>
      <c r="BX30">
        <v>37</v>
      </c>
    </row>
    <row r="31" spans="1:76" x14ac:dyDescent="0.25">
      <c r="A31">
        <v>29</v>
      </c>
      <c r="B31">
        <v>51</v>
      </c>
      <c r="C31">
        <v>93</v>
      </c>
      <c r="D31">
        <v>75</v>
      </c>
      <c r="E31">
        <v>33</v>
      </c>
      <c r="F31">
        <v>35</v>
      </c>
      <c r="G31">
        <v>48</v>
      </c>
      <c r="H31">
        <v>11</v>
      </c>
      <c r="I31">
        <v>48</v>
      </c>
      <c r="J31">
        <v>67</v>
      </c>
      <c r="K31">
        <v>64</v>
      </c>
      <c r="L31">
        <v>39</v>
      </c>
      <c r="M31">
        <v>24</v>
      </c>
      <c r="N31">
        <v>57</v>
      </c>
      <c r="O31">
        <v>1</v>
      </c>
      <c r="P31">
        <v>82</v>
      </c>
      <c r="Q31">
        <v>10</v>
      </c>
      <c r="R31">
        <v>90</v>
      </c>
      <c r="S31">
        <v>62</v>
      </c>
      <c r="T31">
        <v>42</v>
      </c>
      <c r="U31">
        <v>49</v>
      </c>
      <c r="X31">
        <v>29</v>
      </c>
      <c r="Y31">
        <f t="shared" si="3"/>
        <v>1572</v>
      </c>
      <c r="Z31">
        <f t="shared" si="4"/>
        <v>1712</v>
      </c>
      <c r="AA31">
        <f t="shared" si="5"/>
        <v>1787</v>
      </c>
      <c r="AB31">
        <f t="shared" si="6"/>
        <v>1829</v>
      </c>
      <c r="AC31">
        <f t="shared" si="7"/>
        <v>1994</v>
      </c>
      <c r="AD31">
        <f t="shared" si="8"/>
        <v>2042</v>
      </c>
      <c r="AE31">
        <f t="shared" si="9"/>
        <v>2169</v>
      </c>
      <c r="AF31">
        <f t="shared" si="10"/>
        <v>2344</v>
      </c>
      <c r="AG31">
        <f t="shared" si="11"/>
        <v>2472</v>
      </c>
      <c r="AH31">
        <f t="shared" si="12"/>
        <v>2536</v>
      </c>
      <c r="AI31">
        <f t="shared" si="13"/>
        <v>2575</v>
      </c>
      <c r="AJ31">
        <f t="shared" si="14"/>
        <v>2599</v>
      </c>
      <c r="AK31">
        <f t="shared" si="15"/>
        <v>2699</v>
      </c>
      <c r="AL31">
        <f t="shared" si="16"/>
        <v>2700</v>
      </c>
      <c r="AM31">
        <f t="shared" si="17"/>
        <v>2904</v>
      </c>
      <c r="AN31">
        <f t="shared" si="18"/>
        <v>2914</v>
      </c>
      <c r="AO31">
        <f t="shared" si="19"/>
        <v>3004</v>
      </c>
      <c r="AP31">
        <f t="shared" si="20"/>
        <v>3066</v>
      </c>
      <c r="AQ31">
        <f t="shared" si="21"/>
        <v>3132</v>
      </c>
      <c r="AR31">
        <f t="shared" si="22"/>
        <v>3239</v>
      </c>
      <c r="AX31">
        <v>29</v>
      </c>
      <c r="AY31">
        <v>7819</v>
      </c>
      <c r="AZ31">
        <f t="shared" si="0"/>
        <v>249.88041949098351</v>
      </c>
      <c r="BA31">
        <f t="shared" si="1"/>
        <v>3.9966832765275925E-3</v>
      </c>
      <c r="BB31">
        <f t="shared" si="2"/>
        <v>0.11645789769841054</v>
      </c>
      <c r="BD31">
        <v>0.24727392000000001</v>
      </c>
      <c r="BE31">
        <v>121</v>
      </c>
      <c r="BF31">
        <v>7686</v>
      </c>
      <c r="BG31" s="5">
        <v>29</v>
      </c>
      <c r="BH31">
        <v>7740</v>
      </c>
      <c r="BI31" s="2">
        <v>1.9015310000000001E-2</v>
      </c>
      <c r="BJ31">
        <v>7819</v>
      </c>
      <c r="BK31" s="5">
        <v>215</v>
      </c>
      <c r="BL31">
        <v>7591</v>
      </c>
      <c r="BN31">
        <v>37</v>
      </c>
      <c r="BP31">
        <v>37</v>
      </c>
      <c r="BR31">
        <v>37</v>
      </c>
      <c r="BT31">
        <v>68</v>
      </c>
      <c r="BV31">
        <v>68</v>
      </c>
      <c r="BX31">
        <v>17</v>
      </c>
    </row>
    <row r="32" spans="1:76" x14ac:dyDescent="0.25">
      <c r="A32">
        <v>30</v>
      </c>
      <c r="B32">
        <v>39</v>
      </c>
      <c r="C32">
        <v>52</v>
      </c>
      <c r="D32">
        <v>67</v>
      </c>
      <c r="E32">
        <v>88</v>
      </c>
      <c r="F32">
        <v>83</v>
      </c>
      <c r="G32">
        <v>47</v>
      </c>
      <c r="H32">
        <v>16</v>
      </c>
      <c r="I32">
        <v>72</v>
      </c>
      <c r="J32">
        <v>86</v>
      </c>
      <c r="K32">
        <v>35</v>
      </c>
      <c r="L32">
        <v>18</v>
      </c>
      <c r="M32">
        <v>77</v>
      </c>
      <c r="N32">
        <v>56</v>
      </c>
      <c r="O32">
        <v>73</v>
      </c>
      <c r="P32">
        <v>85</v>
      </c>
      <c r="Q32">
        <v>42</v>
      </c>
      <c r="R32">
        <v>32</v>
      </c>
      <c r="S32">
        <v>85</v>
      </c>
      <c r="T32">
        <v>16</v>
      </c>
      <c r="U32">
        <v>84</v>
      </c>
      <c r="X32">
        <v>30</v>
      </c>
      <c r="Y32">
        <f t="shared" si="3"/>
        <v>1611</v>
      </c>
      <c r="Z32">
        <f t="shared" si="4"/>
        <v>1764</v>
      </c>
      <c r="AA32">
        <f t="shared" si="5"/>
        <v>1854</v>
      </c>
      <c r="AB32">
        <f t="shared" si="6"/>
        <v>1942</v>
      </c>
      <c r="AC32">
        <f t="shared" si="7"/>
        <v>2077</v>
      </c>
      <c r="AD32">
        <f t="shared" si="8"/>
        <v>2124</v>
      </c>
      <c r="AE32">
        <f t="shared" si="9"/>
        <v>2185</v>
      </c>
      <c r="AF32">
        <f t="shared" si="10"/>
        <v>2416</v>
      </c>
      <c r="AG32">
        <f t="shared" si="11"/>
        <v>2558</v>
      </c>
      <c r="AH32">
        <f t="shared" si="12"/>
        <v>2593</v>
      </c>
      <c r="AI32">
        <f t="shared" si="13"/>
        <v>2611</v>
      </c>
      <c r="AJ32">
        <f t="shared" si="14"/>
        <v>2688</v>
      </c>
      <c r="AK32">
        <f t="shared" si="15"/>
        <v>2755</v>
      </c>
      <c r="AL32">
        <f t="shared" si="16"/>
        <v>2828</v>
      </c>
      <c r="AM32">
        <f t="shared" si="17"/>
        <v>2989</v>
      </c>
      <c r="AN32">
        <f t="shared" si="18"/>
        <v>3031</v>
      </c>
      <c r="AO32">
        <f t="shared" si="19"/>
        <v>3063</v>
      </c>
      <c r="AP32">
        <f t="shared" si="20"/>
        <v>3151</v>
      </c>
      <c r="AQ32">
        <f t="shared" si="21"/>
        <v>3167</v>
      </c>
      <c r="AR32">
        <f t="shared" si="22"/>
        <v>3323</v>
      </c>
      <c r="AX32">
        <v>30</v>
      </c>
      <c r="AY32">
        <v>7599</v>
      </c>
      <c r="AZ32">
        <f t="shared" si="0"/>
        <v>257.11475194104486</v>
      </c>
      <c r="BA32">
        <f t="shared" si="1"/>
        <v>4.1123919646228772E-3</v>
      </c>
      <c r="BB32">
        <f t="shared" si="2"/>
        <v>0.12057028966303342</v>
      </c>
      <c r="BD32">
        <v>0.53550308999999996</v>
      </c>
      <c r="BE32">
        <v>80</v>
      </c>
      <c r="BF32">
        <v>7448</v>
      </c>
      <c r="BG32" s="5">
        <v>30</v>
      </c>
      <c r="BH32">
        <v>7599</v>
      </c>
      <c r="BI32" s="1">
        <v>0.90692550000000005</v>
      </c>
      <c r="BJ32">
        <v>7599</v>
      </c>
      <c r="BK32" s="5">
        <v>144</v>
      </c>
      <c r="BL32">
        <v>7592</v>
      </c>
      <c r="BN32">
        <v>32</v>
      </c>
      <c r="BP32">
        <v>32</v>
      </c>
      <c r="BR32">
        <v>32</v>
      </c>
      <c r="BT32">
        <v>87</v>
      </c>
      <c r="BV32">
        <v>87</v>
      </c>
      <c r="BX32">
        <v>91</v>
      </c>
    </row>
    <row r="33" spans="1:76" x14ac:dyDescent="0.25">
      <c r="A33">
        <v>31</v>
      </c>
      <c r="B33">
        <v>54</v>
      </c>
      <c r="C33">
        <v>62</v>
      </c>
      <c r="D33">
        <v>97</v>
      </c>
      <c r="E33">
        <v>40</v>
      </c>
      <c r="F33">
        <v>56</v>
      </c>
      <c r="G33">
        <v>73</v>
      </c>
      <c r="H33">
        <v>61</v>
      </c>
      <c r="I33">
        <v>64</v>
      </c>
      <c r="J33">
        <v>92</v>
      </c>
      <c r="K33">
        <v>53</v>
      </c>
      <c r="L33">
        <v>74</v>
      </c>
      <c r="M33">
        <v>78</v>
      </c>
      <c r="N33">
        <v>13</v>
      </c>
      <c r="O33">
        <v>89</v>
      </c>
      <c r="P33">
        <v>28</v>
      </c>
      <c r="Q33">
        <v>29</v>
      </c>
      <c r="R33">
        <v>76</v>
      </c>
      <c r="S33">
        <v>51</v>
      </c>
      <c r="T33">
        <v>80</v>
      </c>
      <c r="U33">
        <v>21</v>
      </c>
      <c r="X33">
        <v>31</v>
      </c>
      <c r="Y33">
        <f t="shared" si="3"/>
        <v>1665</v>
      </c>
      <c r="Z33">
        <f t="shared" si="4"/>
        <v>1826</v>
      </c>
      <c r="AA33">
        <f t="shared" si="5"/>
        <v>1951</v>
      </c>
      <c r="AB33">
        <f t="shared" si="6"/>
        <v>1991</v>
      </c>
      <c r="AC33">
        <f t="shared" si="7"/>
        <v>2133</v>
      </c>
      <c r="AD33">
        <f t="shared" si="8"/>
        <v>2206</v>
      </c>
      <c r="AE33">
        <f t="shared" si="9"/>
        <v>2267</v>
      </c>
      <c r="AF33">
        <f t="shared" si="10"/>
        <v>2480</v>
      </c>
      <c r="AG33">
        <f t="shared" si="11"/>
        <v>2650</v>
      </c>
      <c r="AH33">
        <f t="shared" si="12"/>
        <v>2703</v>
      </c>
      <c r="AI33">
        <f t="shared" si="13"/>
        <v>2777</v>
      </c>
      <c r="AJ33">
        <f t="shared" si="14"/>
        <v>2855</v>
      </c>
      <c r="AK33">
        <f t="shared" si="15"/>
        <v>2868</v>
      </c>
      <c r="AL33">
        <f t="shared" si="16"/>
        <v>2957</v>
      </c>
      <c r="AM33">
        <f t="shared" si="17"/>
        <v>3017</v>
      </c>
      <c r="AN33">
        <f t="shared" si="18"/>
        <v>3060</v>
      </c>
      <c r="AO33">
        <f t="shared" si="19"/>
        <v>3139</v>
      </c>
      <c r="AP33">
        <f t="shared" si="20"/>
        <v>3202</v>
      </c>
      <c r="AQ33">
        <f t="shared" si="21"/>
        <v>3282</v>
      </c>
      <c r="AR33">
        <f t="shared" si="22"/>
        <v>3344</v>
      </c>
      <c r="AX33">
        <v>31</v>
      </c>
      <c r="AY33">
        <v>7809</v>
      </c>
      <c r="AZ33">
        <f t="shared" si="0"/>
        <v>250.20040978358304</v>
      </c>
      <c r="BA33">
        <f t="shared" si="1"/>
        <v>4.0018013240068189E-3</v>
      </c>
      <c r="BB33">
        <f t="shared" si="2"/>
        <v>0.12457209098704024</v>
      </c>
      <c r="BD33">
        <v>4.0065099999999996E-3</v>
      </c>
      <c r="BE33">
        <v>153</v>
      </c>
      <c r="BF33">
        <v>7984</v>
      </c>
      <c r="BG33" s="5">
        <v>31</v>
      </c>
      <c r="BH33">
        <v>7809</v>
      </c>
      <c r="BI33" s="1">
        <v>0.99386525000000003</v>
      </c>
      <c r="BJ33">
        <v>7809</v>
      </c>
      <c r="BK33" s="5">
        <v>33</v>
      </c>
      <c r="BL33">
        <v>7594</v>
      </c>
      <c r="BN33">
        <v>15</v>
      </c>
      <c r="BP33">
        <v>15</v>
      </c>
      <c r="BR33">
        <v>15</v>
      </c>
      <c r="BT33">
        <v>28</v>
      </c>
      <c r="BV33">
        <v>28</v>
      </c>
      <c r="BX33">
        <v>38</v>
      </c>
    </row>
    <row r="34" spans="1:76" x14ac:dyDescent="0.25">
      <c r="A34">
        <v>32</v>
      </c>
      <c r="B34">
        <v>90</v>
      </c>
      <c r="C34">
        <v>84</v>
      </c>
      <c r="D34">
        <v>25</v>
      </c>
      <c r="E34">
        <v>89</v>
      </c>
      <c r="F34">
        <v>61</v>
      </c>
      <c r="G34">
        <v>8</v>
      </c>
      <c r="H34">
        <v>76</v>
      </c>
      <c r="I34">
        <v>83</v>
      </c>
      <c r="J34">
        <v>95</v>
      </c>
      <c r="K34">
        <v>81</v>
      </c>
      <c r="L34">
        <v>75</v>
      </c>
      <c r="M34">
        <v>96</v>
      </c>
      <c r="N34">
        <v>32</v>
      </c>
      <c r="O34">
        <v>83</v>
      </c>
      <c r="P34">
        <v>68</v>
      </c>
      <c r="Q34">
        <v>96</v>
      </c>
      <c r="R34">
        <v>20</v>
      </c>
      <c r="S34">
        <v>16</v>
      </c>
      <c r="T34">
        <v>30</v>
      </c>
      <c r="U34">
        <v>78</v>
      </c>
      <c r="X34">
        <v>32</v>
      </c>
      <c r="Y34">
        <f t="shared" si="3"/>
        <v>1755</v>
      </c>
      <c r="Z34">
        <f t="shared" si="4"/>
        <v>1910</v>
      </c>
      <c r="AA34">
        <f t="shared" si="5"/>
        <v>1976</v>
      </c>
      <c r="AB34">
        <f t="shared" si="6"/>
        <v>2080</v>
      </c>
      <c r="AC34">
        <f t="shared" si="7"/>
        <v>2194</v>
      </c>
      <c r="AD34">
        <f t="shared" si="8"/>
        <v>2214</v>
      </c>
      <c r="AE34">
        <f t="shared" si="9"/>
        <v>2343</v>
      </c>
      <c r="AF34">
        <f t="shared" si="10"/>
        <v>2563</v>
      </c>
      <c r="AG34">
        <f t="shared" si="11"/>
        <v>2745</v>
      </c>
      <c r="AH34">
        <f t="shared" si="12"/>
        <v>2826</v>
      </c>
      <c r="AI34">
        <f t="shared" si="13"/>
        <v>2901</v>
      </c>
      <c r="AJ34">
        <f t="shared" si="14"/>
        <v>2997</v>
      </c>
      <c r="AK34">
        <f t="shared" si="15"/>
        <v>3029</v>
      </c>
      <c r="AL34">
        <f t="shared" si="16"/>
        <v>3112</v>
      </c>
      <c r="AM34">
        <f t="shared" si="17"/>
        <v>3180</v>
      </c>
      <c r="AN34">
        <f t="shared" si="18"/>
        <v>3276</v>
      </c>
      <c r="AO34">
        <f t="shared" si="19"/>
        <v>3296</v>
      </c>
      <c r="AP34">
        <f t="shared" si="20"/>
        <v>3312</v>
      </c>
      <c r="AQ34">
        <f t="shared" si="21"/>
        <v>3342</v>
      </c>
      <c r="AR34">
        <f t="shared" si="22"/>
        <v>3422</v>
      </c>
      <c r="AX34">
        <v>32</v>
      </c>
      <c r="AY34">
        <v>7940</v>
      </c>
      <c r="AZ34">
        <f t="shared" si="0"/>
        <v>246.07241813602016</v>
      </c>
      <c r="BA34">
        <f t="shared" si="1"/>
        <v>3.9357766422127519E-3</v>
      </c>
      <c r="BB34">
        <f t="shared" si="2"/>
        <v>0.12850786762925298</v>
      </c>
      <c r="BD34">
        <v>0.78642350000000005</v>
      </c>
      <c r="BE34">
        <v>164</v>
      </c>
      <c r="BF34">
        <v>7609</v>
      </c>
      <c r="BG34" s="5">
        <v>32</v>
      </c>
      <c r="BH34">
        <v>7940</v>
      </c>
      <c r="BI34" s="1">
        <v>0.12946933999999999</v>
      </c>
      <c r="BJ34">
        <v>7940</v>
      </c>
      <c r="BK34" s="5">
        <v>137</v>
      </c>
      <c r="BL34">
        <v>7594</v>
      </c>
      <c r="BN34">
        <v>81</v>
      </c>
      <c r="BP34">
        <v>81</v>
      </c>
      <c r="BR34">
        <v>81</v>
      </c>
      <c r="BT34">
        <v>1</v>
      </c>
      <c r="BV34">
        <v>1</v>
      </c>
      <c r="BX34">
        <v>23</v>
      </c>
    </row>
    <row r="35" spans="1:76" x14ac:dyDescent="0.25">
      <c r="A35">
        <v>33</v>
      </c>
      <c r="B35">
        <v>30</v>
      </c>
      <c r="C35">
        <v>27</v>
      </c>
      <c r="D35">
        <v>36</v>
      </c>
      <c r="E35">
        <v>89</v>
      </c>
      <c r="F35">
        <v>85</v>
      </c>
      <c r="G35">
        <v>51</v>
      </c>
      <c r="H35">
        <v>35</v>
      </c>
      <c r="I35">
        <v>61</v>
      </c>
      <c r="J35">
        <v>29</v>
      </c>
      <c r="K35">
        <v>93</v>
      </c>
      <c r="L35">
        <v>46</v>
      </c>
      <c r="M35">
        <v>71</v>
      </c>
      <c r="N35">
        <v>88</v>
      </c>
      <c r="O35">
        <v>87</v>
      </c>
      <c r="P35">
        <v>85</v>
      </c>
      <c r="Q35">
        <v>27</v>
      </c>
      <c r="R35">
        <v>28</v>
      </c>
      <c r="S35">
        <v>31</v>
      </c>
      <c r="T35">
        <v>12</v>
      </c>
      <c r="U35">
        <v>93</v>
      </c>
      <c r="X35">
        <v>33</v>
      </c>
      <c r="Y35">
        <f t="shared" si="3"/>
        <v>1785</v>
      </c>
      <c r="Z35">
        <f t="shared" si="4"/>
        <v>1937</v>
      </c>
      <c r="AA35">
        <f t="shared" si="5"/>
        <v>2012</v>
      </c>
      <c r="AB35">
        <f t="shared" si="6"/>
        <v>2169</v>
      </c>
      <c r="AC35">
        <f t="shared" si="7"/>
        <v>2279</v>
      </c>
      <c r="AD35">
        <f t="shared" si="8"/>
        <v>2330</v>
      </c>
      <c r="AE35">
        <f t="shared" si="9"/>
        <v>2378</v>
      </c>
      <c r="AF35">
        <f t="shared" si="10"/>
        <v>2624</v>
      </c>
      <c r="AG35">
        <f t="shared" si="11"/>
        <v>2774</v>
      </c>
      <c r="AH35">
        <f t="shared" si="12"/>
        <v>2919</v>
      </c>
      <c r="AI35">
        <f t="shared" si="13"/>
        <v>2965</v>
      </c>
      <c r="AJ35">
        <f t="shared" si="14"/>
        <v>3068</v>
      </c>
      <c r="AK35">
        <f t="shared" si="15"/>
        <v>3156</v>
      </c>
      <c r="AL35">
        <f t="shared" si="16"/>
        <v>3243</v>
      </c>
      <c r="AM35">
        <f t="shared" si="17"/>
        <v>3328</v>
      </c>
      <c r="AN35">
        <f t="shared" si="18"/>
        <v>3355</v>
      </c>
      <c r="AO35">
        <f t="shared" si="19"/>
        <v>3383</v>
      </c>
      <c r="AP35">
        <f t="shared" si="20"/>
        <v>3414</v>
      </c>
      <c r="AQ35">
        <f t="shared" si="21"/>
        <v>3426</v>
      </c>
      <c r="AR35">
        <f t="shared" si="22"/>
        <v>3519</v>
      </c>
      <c r="AX35">
        <v>33</v>
      </c>
      <c r="AY35">
        <v>7732</v>
      </c>
      <c r="AZ35">
        <f t="shared" si="0"/>
        <v>252.69205897568546</v>
      </c>
      <c r="BA35">
        <f t="shared" si="1"/>
        <v>4.0416537169127324E-3</v>
      </c>
      <c r="BB35">
        <f t="shared" si="2"/>
        <v>0.13254952134616571</v>
      </c>
      <c r="BD35">
        <v>0.31289076999999998</v>
      </c>
      <c r="BE35">
        <v>164</v>
      </c>
      <c r="BF35">
        <v>7609</v>
      </c>
      <c r="BG35" s="5">
        <v>33</v>
      </c>
      <c r="BH35">
        <v>7732</v>
      </c>
      <c r="BI35" s="1">
        <v>0.47088706000000002</v>
      </c>
      <c r="BJ35">
        <v>7732</v>
      </c>
      <c r="BK35" s="5">
        <v>156</v>
      </c>
      <c r="BL35">
        <v>7597</v>
      </c>
      <c r="BN35">
        <v>100</v>
      </c>
      <c r="BP35">
        <v>100</v>
      </c>
      <c r="BR35">
        <v>100</v>
      </c>
      <c r="BT35">
        <v>38</v>
      </c>
      <c r="BV35">
        <v>38</v>
      </c>
      <c r="BX35">
        <v>67</v>
      </c>
    </row>
    <row r="36" spans="1:76" x14ac:dyDescent="0.25">
      <c r="A36">
        <v>34</v>
      </c>
      <c r="B36">
        <v>54</v>
      </c>
      <c r="C36">
        <v>15</v>
      </c>
      <c r="D36">
        <v>85</v>
      </c>
      <c r="E36">
        <v>73</v>
      </c>
      <c r="F36">
        <v>40</v>
      </c>
      <c r="G36">
        <v>24</v>
      </c>
      <c r="H36">
        <v>32</v>
      </c>
      <c r="I36">
        <v>31</v>
      </c>
      <c r="J36">
        <v>24</v>
      </c>
      <c r="K36">
        <v>22</v>
      </c>
      <c r="L36">
        <v>88</v>
      </c>
      <c r="M36">
        <v>78</v>
      </c>
      <c r="N36">
        <v>18</v>
      </c>
      <c r="O36">
        <v>16</v>
      </c>
      <c r="P36">
        <v>98</v>
      </c>
      <c r="Q36">
        <v>43</v>
      </c>
      <c r="R36">
        <v>32</v>
      </c>
      <c r="S36">
        <v>44</v>
      </c>
      <c r="T36">
        <v>65</v>
      </c>
      <c r="U36">
        <v>5</v>
      </c>
      <c r="X36">
        <v>34</v>
      </c>
      <c r="Y36">
        <f t="shared" si="3"/>
        <v>1839</v>
      </c>
      <c r="Z36">
        <f t="shared" si="4"/>
        <v>1952</v>
      </c>
      <c r="AA36">
        <f t="shared" si="5"/>
        <v>2097</v>
      </c>
      <c r="AB36">
        <f t="shared" si="6"/>
        <v>2242</v>
      </c>
      <c r="AC36">
        <f t="shared" si="7"/>
        <v>2319</v>
      </c>
      <c r="AD36">
        <f t="shared" si="8"/>
        <v>2354</v>
      </c>
      <c r="AE36">
        <f t="shared" si="9"/>
        <v>2410</v>
      </c>
      <c r="AF36">
        <f t="shared" si="10"/>
        <v>2655</v>
      </c>
      <c r="AG36">
        <f t="shared" si="11"/>
        <v>2798</v>
      </c>
      <c r="AH36">
        <f t="shared" si="12"/>
        <v>2941</v>
      </c>
      <c r="AI36">
        <f t="shared" si="13"/>
        <v>3053</v>
      </c>
      <c r="AJ36">
        <f t="shared" si="14"/>
        <v>3146</v>
      </c>
      <c r="AK36">
        <f t="shared" si="15"/>
        <v>3174</v>
      </c>
      <c r="AL36">
        <f t="shared" si="16"/>
        <v>3259</v>
      </c>
      <c r="AM36">
        <f t="shared" si="17"/>
        <v>3426</v>
      </c>
      <c r="AN36">
        <f t="shared" si="18"/>
        <v>3469</v>
      </c>
      <c r="AO36">
        <f t="shared" si="19"/>
        <v>3501</v>
      </c>
      <c r="AP36">
        <f t="shared" si="20"/>
        <v>3545</v>
      </c>
      <c r="AQ36">
        <f t="shared" si="21"/>
        <v>3610</v>
      </c>
      <c r="AR36">
        <f t="shared" si="22"/>
        <v>3615</v>
      </c>
      <c r="AX36">
        <v>34</v>
      </c>
      <c r="AY36">
        <v>7964</v>
      </c>
      <c r="AZ36">
        <f t="shared" si="0"/>
        <v>245.33086388749373</v>
      </c>
      <c r="BA36">
        <f t="shared" si="1"/>
        <v>3.9239159391222063E-3</v>
      </c>
      <c r="BB36">
        <f t="shared" si="2"/>
        <v>0.13647343728528791</v>
      </c>
      <c r="BD36">
        <v>0.79983419</v>
      </c>
      <c r="BE36">
        <v>87</v>
      </c>
      <c r="BF36">
        <v>7727</v>
      </c>
      <c r="BG36" s="5">
        <v>34</v>
      </c>
      <c r="BH36">
        <v>7964</v>
      </c>
      <c r="BI36" s="1">
        <v>0.38944392999999999</v>
      </c>
      <c r="BJ36">
        <v>7964</v>
      </c>
      <c r="BK36" s="5">
        <v>62</v>
      </c>
      <c r="BL36">
        <v>7597</v>
      </c>
      <c r="BN36">
        <v>36</v>
      </c>
      <c r="BP36">
        <v>36</v>
      </c>
      <c r="BR36">
        <v>36</v>
      </c>
      <c r="BT36">
        <v>83</v>
      </c>
      <c r="BV36">
        <v>83</v>
      </c>
      <c r="BX36">
        <v>94</v>
      </c>
    </row>
    <row r="37" spans="1:76" x14ac:dyDescent="0.25">
      <c r="A37">
        <v>35</v>
      </c>
      <c r="B37">
        <v>76</v>
      </c>
      <c r="C37">
        <v>17</v>
      </c>
      <c r="D37">
        <v>96</v>
      </c>
      <c r="E37">
        <v>9</v>
      </c>
      <c r="F37">
        <v>77</v>
      </c>
      <c r="G37">
        <v>51</v>
      </c>
      <c r="H37">
        <v>63</v>
      </c>
      <c r="I37">
        <v>16</v>
      </c>
      <c r="J37">
        <v>79</v>
      </c>
      <c r="K37">
        <v>26</v>
      </c>
      <c r="L37">
        <v>63</v>
      </c>
      <c r="M37">
        <v>4</v>
      </c>
      <c r="N37">
        <v>52</v>
      </c>
      <c r="O37">
        <v>56</v>
      </c>
      <c r="P37">
        <v>18</v>
      </c>
      <c r="Q37">
        <v>31</v>
      </c>
      <c r="R37">
        <v>5</v>
      </c>
      <c r="S37">
        <v>58</v>
      </c>
      <c r="T37">
        <v>24</v>
      </c>
      <c r="U37">
        <v>14</v>
      </c>
      <c r="X37">
        <v>35</v>
      </c>
      <c r="Y37">
        <f t="shared" si="3"/>
        <v>1915</v>
      </c>
      <c r="Z37">
        <f t="shared" si="4"/>
        <v>1969</v>
      </c>
      <c r="AA37">
        <f t="shared" si="5"/>
        <v>2193</v>
      </c>
      <c r="AB37">
        <f t="shared" si="6"/>
        <v>2251</v>
      </c>
      <c r="AC37">
        <f t="shared" si="7"/>
        <v>2396</v>
      </c>
      <c r="AD37">
        <f t="shared" si="8"/>
        <v>2447</v>
      </c>
      <c r="AE37">
        <f t="shared" si="9"/>
        <v>2510</v>
      </c>
      <c r="AF37">
        <f t="shared" si="10"/>
        <v>2671</v>
      </c>
      <c r="AG37">
        <f t="shared" si="11"/>
        <v>2877</v>
      </c>
      <c r="AH37">
        <f t="shared" si="12"/>
        <v>2967</v>
      </c>
      <c r="AI37">
        <f t="shared" si="13"/>
        <v>3116</v>
      </c>
      <c r="AJ37">
        <f t="shared" si="14"/>
        <v>3150</v>
      </c>
      <c r="AK37">
        <f t="shared" si="15"/>
        <v>3226</v>
      </c>
      <c r="AL37">
        <f t="shared" si="16"/>
        <v>3315</v>
      </c>
      <c r="AM37">
        <f t="shared" si="17"/>
        <v>3444</v>
      </c>
      <c r="AN37">
        <f t="shared" si="18"/>
        <v>3500</v>
      </c>
      <c r="AO37">
        <f t="shared" si="19"/>
        <v>3506</v>
      </c>
      <c r="AP37">
        <f t="shared" si="20"/>
        <v>3603</v>
      </c>
      <c r="AQ37">
        <f t="shared" si="21"/>
        <v>3634</v>
      </c>
      <c r="AR37">
        <f t="shared" si="22"/>
        <v>3648</v>
      </c>
      <c r="AX37">
        <v>35</v>
      </c>
      <c r="AY37">
        <v>7727</v>
      </c>
      <c r="AZ37">
        <f t="shared" si="0"/>
        <v>252.8555713731073</v>
      </c>
      <c r="BA37">
        <f t="shared" si="1"/>
        <v>4.0442689969159111E-3</v>
      </c>
      <c r="BB37">
        <f t="shared" si="2"/>
        <v>0.14051770628220381</v>
      </c>
      <c r="BD37">
        <v>7.746828E-2</v>
      </c>
      <c r="BE37">
        <v>144</v>
      </c>
      <c r="BF37">
        <v>7702</v>
      </c>
      <c r="BG37" s="5">
        <v>35</v>
      </c>
      <c r="BH37">
        <v>7727</v>
      </c>
      <c r="BI37" s="1">
        <v>0.24284315000000001</v>
      </c>
      <c r="BJ37">
        <v>7727</v>
      </c>
      <c r="BK37" s="5">
        <v>39</v>
      </c>
      <c r="BL37">
        <v>7597</v>
      </c>
      <c r="BN37">
        <v>48</v>
      </c>
      <c r="BP37">
        <v>48</v>
      </c>
      <c r="BR37">
        <v>48</v>
      </c>
      <c r="BT37">
        <v>90</v>
      </c>
      <c r="BV37">
        <v>90</v>
      </c>
      <c r="BX37">
        <v>72</v>
      </c>
    </row>
    <row r="38" spans="1:76" x14ac:dyDescent="0.25">
      <c r="A38">
        <v>36</v>
      </c>
      <c r="B38">
        <v>65</v>
      </c>
      <c r="C38">
        <v>86</v>
      </c>
      <c r="D38">
        <v>77</v>
      </c>
      <c r="E38">
        <v>88</v>
      </c>
      <c r="F38">
        <v>67</v>
      </c>
      <c r="G38">
        <v>68</v>
      </c>
      <c r="H38">
        <v>33</v>
      </c>
      <c r="I38">
        <v>6</v>
      </c>
      <c r="J38">
        <v>30</v>
      </c>
      <c r="K38">
        <v>20</v>
      </c>
      <c r="L38">
        <v>25</v>
      </c>
      <c r="M38">
        <v>8</v>
      </c>
      <c r="N38">
        <v>73</v>
      </c>
      <c r="O38">
        <v>29</v>
      </c>
      <c r="P38">
        <v>51</v>
      </c>
      <c r="Q38">
        <v>61</v>
      </c>
      <c r="R38">
        <v>57</v>
      </c>
      <c r="S38">
        <v>92</v>
      </c>
      <c r="T38">
        <v>7</v>
      </c>
      <c r="U38">
        <v>23</v>
      </c>
      <c r="X38">
        <v>36</v>
      </c>
      <c r="Y38">
        <f t="shared" si="3"/>
        <v>1980</v>
      </c>
      <c r="Z38">
        <f t="shared" si="4"/>
        <v>2066</v>
      </c>
      <c r="AA38">
        <f t="shared" si="5"/>
        <v>2270</v>
      </c>
      <c r="AB38">
        <f t="shared" si="6"/>
        <v>2358</v>
      </c>
      <c r="AC38">
        <f t="shared" si="7"/>
        <v>2463</v>
      </c>
      <c r="AD38">
        <f t="shared" si="8"/>
        <v>2531</v>
      </c>
      <c r="AE38">
        <f t="shared" si="9"/>
        <v>2564</v>
      </c>
      <c r="AF38">
        <f t="shared" si="10"/>
        <v>2677</v>
      </c>
      <c r="AG38">
        <f t="shared" si="11"/>
        <v>2907</v>
      </c>
      <c r="AH38">
        <f t="shared" si="12"/>
        <v>2987</v>
      </c>
      <c r="AI38">
        <f t="shared" si="13"/>
        <v>3141</v>
      </c>
      <c r="AJ38">
        <f t="shared" si="14"/>
        <v>3158</v>
      </c>
      <c r="AK38">
        <f t="shared" si="15"/>
        <v>3299</v>
      </c>
      <c r="AL38">
        <f t="shared" si="16"/>
        <v>3344</v>
      </c>
      <c r="AM38">
        <f t="shared" si="17"/>
        <v>3495</v>
      </c>
      <c r="AN38">
        <f t="shared" si="18"/>
        <v>3561</v>
      </c>
      <c r="AO38">
        <f t="shared" si="19"/>
        <v>3618</v>
      </c>
      <c r="AP38">
        <f t="shared" si="20"/>
        <v>3710</v>
      </c>
      <c r="AQ38">
        <f t="shared" si="21"/>
        <v>3717</v>
      </c>
      <c r="AR38">
        <f t="shared" si="22"/>
        <v>3740</v>
      </c>
      <c r="AX38">
        <v>36</v>
      </c>
      <c r="AY38">
        <v>7597</v>
      </c>
      <c r="AZ38">
        <f t="shared" si="0"/>
        <v>257.18244043701463</v>
      </c>
      <c r="BA38">
        <f t="shared" si="1"/>
        <v>4.1134746003908453E-3</v>
      </c>
      <c r="BB38">
        <f t="shared" si="2"/>
        <v>0.14463118088259466</v>
      </c>
      <c r="BD38">
        <v>0.21667296</v>
      </c>
      <c r="BE38">
        <v>120</v>
      </c>
      <c r="BF38">
        <v>8072</v>
      </c>
      <c r="BG38" s="5">
        <v>36</v>
      </c>
      <c r="BH38">
        <v>7597</v>
      </c>
      <c r="BI38" s="1">
        <v>0.54293603000000001</v>
      </c>
      <c r="BJ38">
        <v>7597</v>
      </c>
      <c r="BK38" s="5">
        <v>158</v>
      </c>
      <c r="BL38">
        <v>7598</v>
      </c>
      <c r="BN38">
        <v>7</v>
      </c>
      <c r="BP38">
        <v>7</v>
      </c>
      <c r="BR38">
        <v>7</v>
      </c>
      <c r="BT38">
        <v>37</v>
      </c>
      <c r="BV38">
        <v>37</v>
      </c>
      <c r="BX38">
        <v>78</v>
      </c>
    </row>
    <row r="39" spans="1:76" x14ac:dyDescent="0.25">
      <c r="A39">
        <v>37</v>
      </c>
      <c r="B39">
        <v>10</v>
      </c>
      <c r="C39">
        <v>18</v>
      </c>
      <c r="D39">
        <v>34</v>
      </c>
      <c r="E39">
        <v>94</v>
      </c>
      <c r="F39">
        <v>58</v>
      </c>
      <c r="G39">
        <v>97</v>
      </c>
      <c r="H39">
        <v>34</v>
      </c>
      <c r="I39">
        <v>72</v>
      </c>
      <c r="J39">
        <v>97</v>
      </c>
      <c r="K39">
        <v>61</v>
      </c>
      <c r="L39">
        <v>76</v>
      </c>
      <c r="M39">
        <v>11</v>
      </c>
      <c r="N39">
        <v>10</v>
      </c>
      <c r="O39">
        <v>22</v>
      </c>
      <c r="P39">
        <v>74</v>
      </c>
      <c r="Q39">
        <v>45</v>
      </c>
      <c r="R39">
        <v>30</v>
      </c>
      <c r="S39">
        <v>23</v>
      </c>
      <c r="T39">
        <v>40</v>
      </c>
      <c r="U39">
        <v>73</v>
      </c>
      <c r="X39">
        <v>37</v>
      </c>
      <c r="Y39">
        <f t="shared" si="3"/>
        <v>1990</v>
      </c>
      <c r="Z39">
        <f t="shared" si="4"/>
        <v>2084</v>
      </c>
      <c r="AA39">
        <f t="shared" si="5"/>
        <v>2304</v>
      </c>
      <c r="AB39">
        <f t="shared" si="6"/>
        <v>2452</v>
      </c>
      <c r="AC39">
        <f t="shared" si="7"/>
        <v>2521</v>
      </c>
      <c r="AD39">
        <f t="shared" si="8"/>
        <v>2628</v>
      </c>
      <c r="AE39">
        <f t="shared" si="9"/>
        <v>2662</v>
      </c>
      <c r="AF39">
        <f t="shared" si="10"/>
        <v>2749</v>
      </c>
      <c r="AG39">
        <f t="shared" si="11"/>
        <v>3004</v>
      </c>
      <c r="AH39">
        <f t="shared" si="12"/>
        <v>3065</v>
      </c>
      <c r="AI39">
        <f t="shared" si="13"/>
        <v>3217</v>
      </c>
      <c r="AJ39">
        <f t="shared" si="14"/>
        <v>3228</v>
      </c>
      <c r="AK39">
        <f t="shared" si="15"/>
        <v>3309</v>
      </c>
      <c r="AL39">
        <f t="shared" si="16"/>
        <v>3366</v>
      </c>
      <c r="AM39">
        <f t="shared" si="17"/>
        <v>3569</v>
      </c>
      <c r="AN39">
        <f t="shared" si="18"/>
        <v>3614</v>
      </c>
      <c r="AO39">
        <f t="shared" si="19"/>
        <v>3648</v>
      </c>
      <c r="AP39">
        <f t="shared" si="20"/>
        <v>3733</v>
      </c>
      <c r="AQ39">
        <f t="shared" si="21"/>
        <v>3773</v>
      </c>
      <c r="AR39">
        <f t="shared" si="22"/>
        <v>3846</v>
      </c>
      <c r="AX39">
        <v>37</v>
      </c>
      <c r="AY39">
        <v>7682</v>
      </c>
      <c r="AZ39">
        <f t="shared" si="0"/>
        <v>254.33676126008851</v>
      </c>
      <c r="BA39">
        <f t="shared" si="1"/>
        <v>4.0679597161115914E-3</v>
      </c>
      <c r="BB39">
        <f t="shared" si="2"/>
        <v>0.14869914059870626</v>
      </c>
      <c r="BD39">
        <v>0.32023811000000002</v>
      </c>
      <c r="BE39">
        <v>180</v>
      </c>
      <c r="BF39">
        <v>7700</v>
      </c>
      <c r="BG39" s="5">
        <v>37</v>
      </c>
      <c r="BH39">
        <v>7682</v>
      </c>
      <c r="BI39" s="1">
        <v>0.99928581999999999</v>
      </c>
      <c r="BJ39">
        <v>7682</v>
      </c>
      <c r="BK39" s="5">
        <v>93</v>
      </c>
      <c r="BL39">
        <v>7599</v>
      </c>
      <c r="BN39">
        <v>14</v>
      </c>
      <c r="BP39">
        <v>14</v>
      </c>
      <c r="BR39">
        <v>14</v>
      </c>
      <c r="BT39">
        <v>2</v>
      </c>
      <c r="BV39">
        <v>2</v>
      </c>
      <c r="BX39">
        <v>2</v>
      </c>
    </row>
    <row r="40" spans="1:76" x14ac:dyDescent="0.25">
      <c r="A40">
        <v>38</v>
      </c>
      <c r="B40">
        <v>70</v>
      </c>
      <c r="C40">
        <v>83</v>
      </c>
      <c r="D40">
        <v>24</v>
      </c>
      <c r="E40">
        <v>69</v>
      </c>
      <c r="F40">
        <v>41</v>
      </c>
      <c r="G40">
        <v>49</v>
      </c>
      <c r="H40">
        <v>4</v>
      </c>
      <c r="I40">
        <v>25</v>
      </c>
      <c r="J40">
        <v>9</v>
      </c>
      <c r="K40">
        <v>2</v>
      </c>
      <c r="L40">
        <v>85</v>
      </c>
      <c r="M40">
        <v>65</v>
      </c>
      <c r="N40">
        <v>63</v>
      </c>
      <c r="O40">
        <v>71</v>
      </c>
      <c r="P40">
        <v>79</v>
      </c>
      <c r="Q40">
        <v>26</v>
      </c>
      <c r="R40">
        <v>70</v>
      </c>
      <c r="S40">
        <v>66</v>
      </c>
      <c r="T40">
        <v>70</v>
      </c>
      <c r="U40">
        <v>76</v>
      </c>
      <c r="X40">
        <v>38</v>
      </c>
      <c r="Y40">
        <f t="shared" si="3"/>
        <v>2060</v>
      </c>
      <c r="Z40">
        <f t="shared" si="4"/>
        <v>2167</v>
      </c>
      <c r="AA40">
        <f t="shared" si="5"/>
        <v>2328</v>
      </c>
      <c r="AB40">
        <f t="shared" si="6"/>
        <v>2521</v>
      </c>
      <c r="AC40">
        <f t="shared" si="7"/>
        <v>2562</v>
      </c>
      <c r="AD40">
        <f t="shared" si="8"/>
        <v>2677</v>
      </c>
      <c r="AE40">
        <f t="shared" si="9"/>
        <v>2681</v>
      </c>
      <c r="AF40">
        <f t="shared" si="10"/>
        <v>2774</v>
      </c>
      <c r="AG40">
        <f t="shared" si="11"/>
        <v>3013</v>
      </c>
      <c r="AH40">
        <f t="shared" si="12"/>
        <v>3067</v>
      </c>
      <c r="AI40">
        <f t="shared" si="13"/>
        <v>3302</v>
      </c>
      <c r="AJ40">
        <f t="shared" si="14"/>
        <v>3367</v>
      </c>
      <c r="AK40">
        <f t="shared" si="15"/>
        <v>3430</v>
      </c>
      <c r="AL40">
        <f t="shared" si="16"/>
        <v>3501</v>
      </c>
      <c r="AM40">
        <f t="shared" si="17"/>
        <v>3648</v>
      </c>
      <c r="AN40">
        <f t="shared" si="18"/>
        <v>3674</v>
      </c>
      <c r="AO40">
        <f t="shared" si="19"/>
        <v>3744</v>
      </c>
      <c r="AP40">
        <f t="shared" si="20"/>
        <v>3810</v>
      </c>
      <c r="AQ40">
        <f t="shared" si="21"/>
        <v>3880</v>
      </c>
      <c r="AR40">
        <f t="shared" si="22"/>
        <v>3956</v>
      </c>
      <c r="AX40">
        <v>38</v>
      </c>
      <c r="AY40">
        <v>7917</v>
      </c>
      <c r="AZ40">
        <f t="shared" si="0"/>
        <v>246.78729316660352</v>
      </c>
      <c r="BA40">
        <f t="shared" si="1"/>
        <v>3.9472106276581091E-3</v>
      </c>
      <c r="BB40">
        <f t="shared" si="2"/>
        <v>0.15264635122636436</v>
      </c>
      <c r="BD40">
        <v>0.13350504999999999</v>
      </c>
      <c r="BE40">
        <v>81</v>
      </c>
      <c r="BF40">
        <v>7833</v>
      </c>
      <c r="BG40" s="5">
        <v>38</v>
      </c>
      <c r="BH40">
        <v>7917</v>
      </c>
      <c r="BI40" s="1">
        <v>0.74785119</v>
      </c>
      <c r="BJ40">
        <v>7917</v>
      </c>
      <c r="BK40" s="5">
        <v>180</v>
      </c>
      <c r="BL40">
        <v>7599</v>
      </c>
      <c r="BN40">
        <v>47</v>
      </c>
      <c r="BP40">
        <v>47</v>
      </c>
      <c r="BR40">
        <v>47</v>
      </c>
      <c r="BT40">
        <v>51</v>
      </c>
      <c r="BV40">
        <v>51</v>
      </c>
      <c r="BX40">
        <v>51</v>
      </c>
    </row>
    <row r="41" spans="1:76" x14ac:dyDescent="0.25">
      <c r="A41">
        <v>39</v>
      </c>
      <c r="B41">
        <v>78</v>
      </c>
      <c r="C41">
        <v>69</v>
      </c>
      <c r="D41">
        <v>82</v>
      </c>
      <c r="E41">
        <v>72</v>
      </c>
      <c r="F41">
        <v>99</v>
      </c>
      <c r="G41">
        <v>32</v>
      </c>
      <c r="H41">
        <v>97</v>
      </c>
      <c r="I41">
        <v>85</v>
      </c>
      <c r="J41">
        <v>32</v>
      </c>
      <c r="K41">
        <v>97</v>
      </c>
      <c r="L41">
        <v>56</v>
      </c>
      <c r="M41">
        <v>68</v>
      </c>
      <c r="N41">
        <v>1</v>
      </c>
      <c r="O41">
        <v>92</v>
      </c>
      <c r="P41">
        <v>97</v>
      </c>
      <c r="Q41">
        <v>7</v>
      </c>
      <c r="R41">
        <v>95</v>
      </c>
      <c r="S41">
        <v>88</v>
      </c>
      <c r="T41">
        <v>93</v>
      </c>
      <c r="U41">
        <v>79</v>
      </c>
      <c r="X41">
        <v>39</v>
      </c>
      <c r="Y41">
        <f t="shared" si="3"/>
        <v>2138</v>
      </c>
      <c r="Z41">
        <f t="shared" si="4"/>
        <v>2236</v>
      </c>
      <c r="AA41">
        <f t="shared" si="5"/>
        <v>2410</v>
      </c>
      <c r="AB41">
        <f t="shared" si="6"/>
        <v>2593</v>
      </c>
      <c r="AC41">
        <f t="shared" si="7"/>
        <v>2692</v>
      </c>
      <c r="AD41">
        <f t="shared" si="8"/>
        <v>2724</v>
      </c>
      <c r="AE41">
        <f t="shared" si="9"/>
        <v>2821</v>
      </c>
      <c r="AF41">
        <f t="shared" si="10"/>
        <v>2906</v>
      </c>
      <c r="AG41">
        <f t="shared" si="11"/>
        <v>3045</v>
      </c>
      <c r="AH41">
        <f t="shared" si="12"/>
        <v>3164</v>
      </c>
      <c r="AI41">
        <f t="shared" si="13"/>
        <v>3358</v>
      </c>
      <c r="AJ41">
        <f t="shared" si="14"/>
        <v>3435</v>
      </c>
      <c r="AK41">
        <f t="shared" si="15"/>
        <v>3436</v>
      </c>
      <c r="AL41">
        <f t="shared" si="16"/>
        <v>3593</v>
      </c>
      <c r="AM41">
        <f t="shared" si="17"/>
        <v>3745</v>
      </c>
      <c r="AN41">
        <f t="shared" si="18"/>
        <v>3752</v>
      </c>
      <c r="AO41">
        <f t="shared" si="19"/>
        <v>3847</v>
      </c>
      <c r="AP41">
        <f t="shared" si="20"/>
        <v>3935</v>
      </c>
      <c r="AQ41">
        <f t="shared" si="21"/>
        <v>4028</v>
      </c>
      <c r="AR41">
        <f t="shared" si="22"/>
        <v>4107</v>
      </c>
      <c r="AX41">
        <v>39</v>
      </c>
      <c r="AY41">
        <v>7794</v>
      </c>
      <c r="AZ41">
        <f t="shared" si="0"/>
        <v>250.68193482165768</v>
      </c>
      <c r="BA41">
        <f t="shared" si="1"/>
        <v>4.0095030201654155E-3</v>
      </c>
      <c r="BB41">
        <f t="shared" si="2"/>
        <v>0.15665585424652978</v>
      </c>
      <c r="BD41">
        <v>0.25931704</v>
      </c>
      <c r="BE41">
        <v>182</v>
      </c>
      <c r="BF41">
        <v>7678</v>
      </c>
      <c r="BG41" s="5">
        <v>39</v>
      </c>
      <c r="BH41">
        <v>7794</v>
      </c>
      <c r="BI41" s="1">
        <v>0.58681083000000001</v>
      </c>
      <c r="BJ41">
        <v>7794</v>
      </c>
      <c r="BK41" s="5">
        <v>23</v>
      </c>
      <c r="BL41">
        <v>7604</v>
      </c>
      <c r="BN41">
        <v>30</v>
      </c>
      <c r="BP41">
        <v>30</v>
      </c>
      <c r="BR41">
        <v>30</v>
      </c>
      <c r="BT41">
        <v>61</v>
      </c>
      <c r="BV41">
        <v>61</v>
      </c>
      <c r="BX41">
        <v>90</v>
      </c>
    </row>
    <row r="42" spans="1:76" x14ac:dyDescent="0.25">
      <c r="A42">
        <v>40</v>
      </c>
      <c r="B42">
        <v>29</v>
      </c>
      <c r="C42">
        <v>33</v>
      </c>
      <c r="D42">
        <v>39</v>
      </c>
      <c r="E42">
        <v>83</v>
      </c>
      <c r="F42">
        <v>96</v>
      </c>
      <c r="G42">
        <v>88</v>
      </c>
      <c r="H42">
        <v>34</v>
      </c>
      <c r="I42">
        <v>89</v>
      </c>
      <c r="J42">
        <v>35</v>
      </c>
      <c r="K42">
        <v>2</v>
      </c>
      <c r="L42">
        <v>24</v>
      </c>
      <c r="M42">
        <v>53</v>
      </c>
      <c r="N42">
        <v>58</v>
      </c>
      <c r="O42">
        <v>11</v>
      </c>
      <c r="P42">
        <v>19</v>
      </c>
      <c r="Q42">
        <v>28</v>
      </c>
      <c r="R42">
        <v>75</v>
      </c>
      <c r="S42">
        <v>88</v>
      </c>
      <c r="T42">
        <v>49</v>
      </c>
      <c r="U42">
        <v>22</v>
      </c>
      <c r="X42">
        <v>40</v>
      </c>
      <c r="Y42">
        <f t="shared" si="3"/>
        <v>2167</v>
      </c>
      <c r="Z42">
        <f t="shared" si="4"/>
        <v>2269</v>
      </c>
      <c r="AA42">
        <f t="shared" si="5"/>
        <v>2449</v>
      </c>
      <c r="AB42">
        <f t="shared" si="6"/>
        <v>2676</v>
      </c>
      <c r="AC42">
        <f t="shared" si="7"/>
        <v>2788</v>
      </c>
      <c r="AD42">
        <f t="shared" si="8"/>
        <v>2876</v>
      </c>
      <c r="AE42">
        <f t="shared" si="9"/>
        <v>2910</v>
      </c>
      <c r="AF42">
        <f t="shared" si="10"/>
        <v>2999</v>
      </c>
      <c r="AG42">
        <f t="shared" si="11"/>
        <v>3080</v>
      </c>
      <c r="AH42">
        <f t="shared" si="12"/>
        <v>3166</v>
      </c>
      <c r="AI42">
        <f t="shared" si="13"/>
        <v>3382</v>
      </c>
      <c r="AJ42">
        <f t="shared" si="14"/>
        <v>3488</v>
      </c>
      <c r="AK42">
        <f t="shared" si="15"/>
        <v>3546</v>
      </c>
      <c r="AL42">
        <f t="shared" si="16"/>
        <v>3604</v>
      </c>
      <c r="AM42">
        <f t="shared" si="17"/>
        <v>3764</v>
      </c>
      <c r="AN42">
        <f t="shared" si="18"/>
        <v>3792</v>
      </c>
      <c r="AO42">
        <f t="shared" si="19"/>
        <v>3922</v>
      </c>
      <c r="AP42">
        <f t="shared" si="20"/>
        <v>4023</v>
      </c>
      <c r="AQ42">
        <f t="shared" si="21"/>
        <v>4077</v>
      </c>
      <c r="AR42">
        <f t="shared" si="22"/>
        <v>4129</v>
      </c>
      <c r="AX42">
        <v>40</v>
      </c>
      <c r="AY42">
        <v>7597</v>
      </c>
      <c r="AZ42">
        <f t="shared" si="0"/>
        <v>257.18244043701463</v>
      </c>
      <c r="BA42">
        <f t="shared" si="1"/>
        <v>4.1134746003908453E-3</v>
      </c>
      <c r="BB42">
        <f t="shared" si="2"/>
        <v>0.16076932884692063</v>
      </c>
      <c r="BD42">
        <v>0.37254268000000001</v>
      </c>
      <c r="BE42">
        <v>37</v>
      </c>
      <c r="BF42">
        <v>7597</v>
      </c>
      <c r="BG42" s="5">
        <v>40</v>
      </c>
      <c r="BH42">
        <v>7597</v>
      </c>
      <c r="BI42" s="1">
        <v>0.50346464000000002</v>
      </c>
      <c r="BJ42">
        <v>7597</v>
      </c>
      <c r="BK42" s="5">
        <v>64</v>
      </c>
      <c r="BL42">
        <v>7604</v>
      </c>
      <c r="BN42">
        <v>53</v>
      </c>
      <c r="BP42">
        <v>53</v>
      </c>
      <c r="BR42">
        <v>53</v>
      </c>
      <c r="BT42">
        <v>58</v>
      </c>
      <c r="BV42">
        <v>58</v>
      </c>
      <c r="BX42">
        <v>58</v>
      </c>
    </row>
    <row r="43" spans="1:76" x14ac:dyDescent="0.25">
      <c r="A43">
        <v>41</v>
      </c>
      <c r="B43">
        <v>59</v>
      </c>
      <c r="C43">
        <v>8</v>
      </c>
      <c r="D43">
        <v>36</v>
      </c>
      <c r="E43">
        <v>60</v>
      </c>
      <c r="F43">
        <v>3</v>
      </c>
      <c r="G43">
        <v>59</v>
      </c>
      <c r="H43">
        <v>58</v>
      </c>
      <c r="I43">
        <v>68</v>
      </c>
      <c r="J43">
        <v>35</v>
      </c>
      <c r="K43">
        <v>47</v>
      </c>
      <c r="L43">
        <v>50</v>
      </c>
      <c r="M43">
        <v>6</v>
      </c>
      <c r="N43">
        <v>66</v>
      </c>
      <c r="O43">
        <v>29</v>
      </c>
      <c r="P43">
        <v>92</v>
      </c>
      <c r="Q43">
        <v>63</v>
      </c>
      <c r="R43">
        <v>39</v>
      </c>
      <c r="S43">
        <v>96</v>
      </c>
      <c r="T43">
        <v>89</v>
      </c>
      <c r="U43">
        <v>94</v>
      </c>
      <c r="X43">
        <v>41</v>
      </c>
      <c r="Y43">
        <f t="shared" si="3"/>
        <v>2226</v>
      </c>
      <c r="Z43">
        <f t="shared" si="4"/>
        <v>2277</v>
      </c>
      <c r="AA43">
        <f t="shared" si="5"/>
        <v>2485</v>
      </c>
      <c r="AB43">
        <f t="shared" si="6"/>
        <v>2736</v>
      </c>
      <c r="AC43">
        <f t="shared" si="7"/>
        <v>2791</v>
      </c>
      <c r="AD43">
        <f t="shared" si="8"/>
        <v>2935</v>
      </c>
      <c r="AE43">
        <f t="shared" si="9"/>
        <v>2993</v>
      </c>
      <c r="AF43">
        <f t="shared" si="10"/>
        <v>3067</v>
      </c>
      <c r="AG43">
        <f t="shared" si="11"/>
        <v>3115</v>
      </c>
      <c r="AH43">
        <f t="shared" si="12"/>
        <v>3213</v>
      </c>
      <c r="AI43">
        <f t="shared" si="13"/>
        <v>3432</v>
      </c>
      <c r="AJ43">
        <f t="shared" si="14"/>
        <v>3494</v>
      </c>
      <c r="AK43">
        <f t="shared" si="15"/>
        <v>3612</v>
      </c>
      <c r="AL43">
        <f t="shared" si="16"/>
        <v>3641</v>
      </c>
      <c r="AM43">
        <f t="shared" si="17"/>
        <v>3856</v>
      </c>
      <c r="AN43">
        <f t="shared" si="18"/>
        <v>3919</v>
      </c>
      <c r="AO43">
        <f t="shared" si="19"/>
        <v>3961</v>
      </c>
      <c r="AP43">
        <f t="shared" si="20"/>
        <v>4119</v>
      </c>
      <c r="AQ43">
        <f t="shared" si="21"/>
        <v>4208</v>
      </c>
      <c r="AR43">
        <f t="shared" si="22"/>
        <v>4302</v>
      </c>
      <c r="AX43">
        <v>41</v>
      </c>
      <c r="AY43">
        <v>7663</v>
      </c>
      <c r="AZ43">
        <f t="shared" si="0"/>
        <v>254.96737570142241</v>
      </c>
      <c r="BA43">
        <f t="shared" si="1"/>
        <v>4.0780460053724708E-3</v>
      </c>
      <c r="BB43">
        <f t="shared" si="2"/>
        <v>0.16484737485229312</v>
      </c>
      <c r="BD43">
        <v>0.99838090000000002</v>
      </c>
      <c r="BE43">
        <v>223</v>
      </c>
      <c r="BF43">
        <v>7993</v>
      </c>
      <c r="BG43" s="5">
        <v>41</v>
      </c>
      <c r="BH43">
        <v>7663</v>
      </c>
      <c r="BI43" s="1">
        <v>0.39040506000000003</v>
      </c>
      <c r="BJ43">
        <v>7663</v>
      </c>
      <c r="BK43" s="5">
        <v>169</v>
      </c>
      <c r="BL43">
        <v>7605</v>
      </c>
      <c r="BN43">
        <v>6</v>
      </c>
      <c r="BP43">
        <v>6</v>
      </c>
      <c r="BR43">
        <v>6</v>
      </c>
      <c r="BT43">
        <v>14</v>
      </c>
      <c r="BV43">
        <v>14</v>
      </c>
      <c r="BX43">
        <v>54</v>
      </c>
    </row>
    <row r="44" spans="1:76" x14ac:dyDescent="0.25">
      <c r="A44">
        <v>42</v>
      </c>
      <c r="B44">
        <v>16</v>
      </c>
      <c r="C44">
        <v>27</v>
      </c>
      <c r="D44">
        <v>13</v>
      </c>
      <c r="E44">
        <v>43</v>
      </c>
      <c r="F44">
        <v>36</v>
      </c>
      <c r="G44">
        <v>96</v>
      </c>
      <c r="H44">
        <v>59</v>
      </c>
      <c r="I44">
        <v>83</v>
      </c>
      <c r="J44">
        <v>40</v>
      </c>
      <c r="K44">
        <v>23</v>
      </c>
      <c r="L44">
        <v>43</v>
      </c>
      <c r="M44">
        <v>36</v>
      </c>
      <c r="N44">
        <v>25</v>
      </c>
      <c r="O44">
        <v>26</v>
      </c>
      <c r="P44">
        <v>87</v>
      </c>
      <c r="Q44">
        <v>23</v>
      </c>
      <c r="R44">
        <v>26</v>
      </c>
      <c r="S44">
        <v>53</v>
      </c>
      <c r="T44">
        <v>17</v>
      </c>
      <c r="U44">
        <v>68</v>
      </c>
      <c r="X44">
        <v>42</v>
      </c>
      <c r="Y44">
        <f t="shared" si="3"/>
        <v>2242</v>
      </c>
      <c r="Z44">
        <f t="shared" si="4"/>
        <v>2304</v>
      </c>
      <c r="AA44">
        <f t="shared" si="5"/>
        <v>2498</v>
      </c>
      <c r="AB44">
        <f t="shared" si="6"/>
        <v>2779</v>
      </c>
      <c r="AC44">
        <f t="shared" si="7"/>
        <v>2827</v>
      </c>
      <c r="AD44">
        <f t="shared" si="8"/>
        <v>3031</v>
      </c>
      <c r="AE44">
        <f t="shared" si="9"/>
        <v>3090</v>
      </c>
      <c r="AF44">
        <f t="shared" si="10"/>
        <v>3173</v>
      </c>
      <c r="AG44">
        <f t="shared" si="11"/>
        <v>3213</v>
      </c>
      <c r="AH44">
        <f t="shared" si="12"/>
        <v>3236</v>
      </c>
      <c r="AI44">
        <f t="shared" si="13"/>
        <v>3475</v>
      </c>
      <c r="AJ44">
        <f t="shared" si="14"/>
        <v>3530</v>
      </c>
      <c r="AK44">
        <f t="shared" si="15"/>
        <v>3637</v>
      </c>
      <c r="AL44">
        <f t="shared" si="16"/>
        <v>3667</v>
      </c>
      <c r="AM44">
        <f t="shared" si="17"/>
        <v>3943</v>
      </c>
      <c r="AN44">
        <f t="shared" si="18"/>
        <v>3966</v>
      </c>
      <c r="AO44">
        <f t="shared" si="19"/>
        <v>3992</v>
      </c>
      <c r="AP44">
        <f t="shared" si="20"/>
        <v>4172</v>
      </c>
      <c r="AQ44">
        <f t="shared" si="21"/>
        <v>4225</v>
      </c>
      <c r="AR44">
        <f t="shared" si="22"/>
        <v>4370</v>
      </c>
      <c r="AX44">
        <v>42</v>
      </c>
      <c r="AY44">
        <v>7813</v>
      </c>
      <c r="AZ44">
        <f t="shared" si="0"/>
        <v>250.07231537181622</v>
      </c>
      <c r="BA44">
        <f t="shared" si="1"/>
        <v>3.9997525328515611E-3</v>
      </c>
      <c r="BB44">
        <f t="shared" si="2"/>
        <v>0.16884712738514468</v>
      </c>
      <c r="BD44">
        <v>0.91182083000000003</v>
      </c>
      <c r="BE44">
        <v>125</v>
      </c>
      <c r="BF44">
        <v>7909</v>
      </c>
      <c r="BG44" s="5">
        <v>42</v>
      </c>
      <c r="BH44">
        <v>7811</v>
      </c>
      <c r="BI44" s="2">
        <v>6.3782300000000004E-3</v>
      </c>
      <c r="BJ44">
        <v>7813</v>
      </c>
      <c r="BK44" s="5">
        <v>240</v>
      </c>
      <c r="BL44">
        <v>7608</v>
      </c>
      <c r="BN44">
        <v>39</v>
      </c>
      <c r="BP44">
        <v>39</v>
      </c>
      <c r="BR44">
        <v>39</v>
      </c>
      <c r="BT44">
        <v>69</v>
      </c>
      <c r="BV44">
        <v>69</v>
      </c>
      <c r="BX44">
        <v>96</v>
      </c>
    </row>
    <row r="45" spans="1:76" x14ac:dyDescent="0.25">
      <c r="A45">
        <v>43</v>
      </c>
      <c r="B45">
        <v>13</v>
      </c>
      <c r="C45">
        <v>43</v>
      </c>
      <c r="D45">
        <v>6</v>
      </c>
      <c r="E45">
        <v>87</v>
      </c>
      <c r="F45">
        <v>33</v>
      </c>
      <c r="G45">
        <v>45</v>
      </c>
      <c r="H45">
        <v>51</v>
      </c>
      <c r="I45">
        <v>14</v>
      </c>
      <c r="J45">
        <v>82</v>
      </c>
      <c r="K45">
        <v>27</v>
      </c>
      <c r="L45">
        <v>68</v>
      </c>
      <c r="M45">
        <v>73</v>
      </c>
      <c r="N45">
        <v>14</v>
      </c>
      <c r="O45">
        <v>82</v>
      </c>
      <c r="P45">
        <v>69</v>
      </c>
      <c r="Q45">
        <v>33</v>
      </c>
      <c r="R45">
        <v>92</v>
      </c>
      <c r="S45">
        <v>1</v>
      </c>
      <c r="T45">
        <v>95</v>
      </c>
      <c r="U45">
        <v>39</v>
      </c>
      <c r="X45">
        <v>43</v>
      </c>
      <c r="Y45">
        <f t="shared" si="3"/>
        <v>2255</v>
      </c>
      <c r="Z45">
        <f t="shared" si="4"/>
        <v>2347</v>
      </c>
      <c r="AA45">
        <f t="shared" si="5"/>
        <v>2504</v>
      </c>
      <c r="AB45">
        <f t="shared" si="6"/>
        <v>2866</v>
      </c>
      <c r="AC45">
        <f t="shared" si="7"/>
        <v>2899</v>
      </c>
      <c r="AD45">
        <f t="shared" si="8"/>
        <v>3076</v>
      </c>
      <c r="AE45">
        <f t="shared" si="9"/>
        <v>3141</v>
      </c>
      <c r="AF45">
        <f t="shared" si="10"/>
        <v>3187</v>
      </c>
      <c r="AG45">
        <f t="shared" si="11"/>
        <v>3295</v>
      </c>
      <c r="AH45">
        <f t="shared" si="12"/>
        <v>3322</v>
      </c>
      <c r="AI45">
        <f t="shared" si="13"/>
        <v>3543</v>
      </c>
      <c r="AJ45">
        <f t="shared" si="14"/>
        <v>3616</v>
      </c>
      <c r="AK45">
        <f t="shared" si="15"/>
        <v>3651</v>
      </c>
      <c r="AL45">
        <f t="shared" si="16"/>
        <v>3749</v>
      </c>
      <c r="AM45">
        <f t="shared" si="17"/>
        <v>4012</v>
      </c>
      <c r="AN45">
        <f t="shared" si="18"/>
        <v>4045</v>
      </c>
      <c r="AO45">
        <f t="shared" si="19"/>
        <v>4137</v>
      </c>
      <c r="AP45">
        <f t="shared" si="20"/>
        <v>4173</v>
      </c>
      <c r="AQ45">
        <f t="shared" si="21"/>
        <v>4320</v>
      </c>
      <c r="AR45">
        <f t="shared" si="22"/>
        <v>4409</v>
      </c>
      <c r="AX45">
        <v>43</v>
      </c>
      <c r="AY45">
        <v>7840</v>
      </c>
      <c r="AZ45">
        <f t="shared" si="0"/>
        <v>249.21109693877551</v>
      </c>
      <c r="BA45">
        <f t="shared" si="1"/>
        <v>3.9859778748940365E-3</v>
      </c>
      <c r="BB45">
        <f t="shared" si="2"/>
        <v>0.17283310526003873</v>
      </c>
      <c r="BD45">
        <v>0.73613726999999995</v>
      </c>
      <c r="BE45">
        <v>33</v>
      </c>
      <c r="BF45">
        <v>7839</v>
      </c>
      <c r="BG45" s="5">
        <v>43</v>
      </c>
      <c r="BH45">
        <v>7840</v>
      </c>
      <c r="BI45" s="1">
        <v>0.92750895</v>
      </c>
      <c r="BJ45">
        <v>7840</v>
      </c>
      <c r="BK45" s="5">
        <v>244</v>
      </c>
      <c r="BL45">
        <v>7609</v>
      </c>
      <c r="BN45">
        <v>18</v>
      </c>
      <c r="BP45">
        <v>18</v>
      </c>
      <c r="BR45">
        <v>18</v>
      </c>
      <c r="BT45">
        <v>80</v>
      </c>
      <c r="BV45">
        <v>80</v>
      </c>
      <c r="BX45">
        <v>60</v>
      </c>
    </row>
    <row r="46" spans="1:76" x14ac:dyDescent="0.25">
      <c r="A46">
        <v>44</v>
      </c>
      <c r="B46">
        <v>29</v>
      </c>
      <c r="C46">
        <v>92</v>
      </c>
      <c r="D46">
        <v>8</v>
      </c>
      <c r="E46">
        <v>53</v>
      </c>
      <c r="F46">
        <v>8</v>
      </c>
      <c r="G46">
        <v>49</v>
      </c>
      <c r="H46">
        <v>7</v>
      </c>
      <c r="I46">
        <v>55</v>
      </c>
      <c r="J46">
        <v>17</v>
      </c>
      <c r="K46">
        <v>21</v>
      </c>
      <c r="L46">
        <v>42</v>
      </c>
      <c r="M46">
        <v>27</v>
      </c>
      <c r="N46">
        <v>31</v>
      </c>
      <c r="O46">
        <v>4</v>
      </c>
      <c r="P46">
        <v>42</v>
      </c>
      <c r="Q46">
        <v>93</v>
      </c>
      <c r="R46">
        <v>10</v>
      </c>
      <c r="S46">
        <v>56</v>
      </c>
      <c r="T46">
        <v>33</v>
      </c>
      <c r="U46">
        <v>50</v>
      </c>
      <c r="X46">
        <v>44</v>
      </c>
      <c r="Y46">
        <f t="shared" si="3"/>
        <v>2284</v>
      </c>
      <c r="Z46">
        <f t="shared" si="4"/>
        <v>2439</v>
      </c>
      <c r="AA46">
        <f t="shared" si="5"/>
        <v>2512</v>
      </c>
      <c r="AB46">
        <f t="shared" si="6"/>
        <v>2919</v>
      </c>
      <c r="AC46">
        <f t="shared" si="7"/>
        <v>2927</v>
      </c>
      <c r="AD46">
        <f t="shared" si="8"/>
        <v>3125</v>
      </c>
      <c r="AE46">
        <f t="shared" si="9"/>
        <v>3148</v>
      </c>
      <c r="AF46">
        <f t="shared" si="10"/>
        <v>3242</v>
      </c>
      <c r="AG46">
        <f t="shared" si="11"/>
        <v>3312</v>
      </c>
      <c r="AH46">
        <f t="shared" si="12"/>
        <v>3343</v>
      </c>
      <c r="AI46">
        <f t="shared" si="13"/>
        <v>3585</v>
      </c>
      <c r="AJ46">
        <f t="shared" si="14"/>
        <v>3643</v>
      </c>
      <c r="AK46">
        <f t="shared" si="15"/>
        <v>3682</v>
      </c>
      <c r="AL46">
        <f t="shared" si="16"/>
        <v>3753</v>
      </c>
      <c r="AM46">
        <f t="shared" si="17"/>
        <v>4054</v>
      </c>
      <c r="AN46">
        <f t="shared" si="18"/>
        <v>4147</v>
      </c>
      <c r="AO46">
        <f t="shared" si="19"/>
        <v>4157</v>
      </c>
      <c r="AP46">
        <f t="shared" si="20"/>
        <v>4229</v>
      </c>
      <c r="AQ46">
        <f t="shared" si="21"/>
        <v>4353</v>
      </c>
      <c r="AR46">
        <f t="shared" si="22"/>
        <v>4459</v>
      </c>
      <c r="AX46">
        <v>44</v>
      </c>
      <c r="AY46">
        <v>7879</v>
      </c>
      <c r="AZ46">
        <f t="shared" si="0"/>
        <v>247.97753522020562</v>
      </c>
      <c r="BA46">
        <f t="shared" si="1"/>
        <v>3.9662478156072154E-3</v>
      </c>
      <c r="BB46">
        <f t="shared" si="2"/>
        <v>0.17679935307564595</v>
      </c>
      <c r="BD46">
        <v>0.75677925000000001</v>
      </c>
      <c r="BE46">
        <v>102</v>
      </c>
      <c r="BF46">
        <v>7916</v>
      </c>
      <c r="BG46" s="5">
        <v>44</v>
      </c>
      <c r="BH46">
        <v>7879</v>
      </c>
      <c r="BI46" s="1">
        <v>0.37773256999999999</v>
      </c>
      <c r="BJ46">
        <v>7879</v>
      </c>
      <c r="BK46" s="5">
        <v>145</v>
      </c>
      <c r="BL46">
        <v>7610</v>
      </c>
      <c r="BN46">
        <v>26</v>
      </c>
      <c r="BP46">
        <v>26</v>
      </c>
      <c r="BR46">
        <v>26</v>
      </c>
      <c r="BT46">
        <v>21</v>
      </c>
      <c r="BV46">
        <v>21</v>
      </c>
      <c r="BX46">
        <v>48</v>
      </c>
    </row>
    <row r="47" spans="1:76" x14ac:dyDescent="0.25">
      <c r="A47">
        <v>45</v>
      </c>
      <c r="B47">
        <v>64</v>
      </c>
      <c r="C47">
        <v>33</v>
      </c>
      <c r="D47">
        <v>26</v>
      </c>
      <c r="E47">
        <v>10</v>
      </c>
      <c r="F47">
        <v>40</v>
      </c>
      <c r="G47">
        <v>73</v>
      </c>
      <c r="H47">
        <v>54</v>
      </c>
      <c r="I47">
        <v>97</v>
      </c>
      <c r="J47">
        <v>96</v>
      </c>
      <c r="K47">
        <v>36</v>
      </c>
      <c r="L47">
        <v>49</v>
      </c>
      <c r="M47">
        <v>72</v>
      </c>
      <c r="N47">
        <v>3</v>
      </c>
      <c r="O47">
        <v>38</v>
      </c>
      <c r="P47">
        <v>3</v>
      </c>
      <c r="Q47">
        <v>67</v>
      </c>
      <c r="R47">
        <v>32</v>
      </c>
      <c r="S47">
        <v>37</v>
      </c>
      <c r="T47">
        <v>68</v>
      </c>
      <c r="U47">
        <v>31</v>
      </c>
      <c r="X47">
        <v>45</v>
      </c>
      <c r="Y47">
        <f t="shared" si="3"/>
        <v>2348</v>
      </c>
      <c r="Z47">
        <f t="shared" si="4"/>
        <v>2472</v>
      </c>
      <c r="AA47">
        <f t="shared" si="5"/>
        <v>2538</v>
      </c>
      <c r="AB47">
        <f t="shared" si="6"/>
        <v>2929</v>
      </c>
      <c r="AC47">
        <f t="shared" si="7"/>
        <v>2969</v>
      </c>
      <c r="AD47">
        <f t="shared" si="8"/>
        <v>3198</v>
      </c>
      <c r="AE47">
        <f t="shared" si="9"/>
        <v>3252</v>
      </c>
      <c r="AF47">
        <f t="shared" si="10"/>
        <v>3349</v>
      </c>
      <c r="AG47">
        <f t="shared" si="11"/>
        <v>3445</v>
      </c>
      <c r="AH47">
        <f t="shared" si="12"/>
        <v>3481</v>
      </c>
      <c r="AI47">
        <f t="shared" si="13"/>
        <v>3634</v>
      </c>
      <c r="AJ47">
        <f t="shared" si="14"/>
        <v>3715</v>
      </c>
      <c r="AK47">
        <f t="shared" si="15"/>
        <v>3718</v>
      </c>
      <c r="AL47">
        <f t="shared" si="16"/>
        <v>3791</v>
      </c>
      <c r="AM47">
        <f t="shared" si="17"/>
        <v>4057</v>
      </c>
      <c r="AN47">
        <f t="shared" si="18"/>
        <v>4214</v>
      </c>
      <c r="AO47">
        <f t="shared" si="19"/>
        <v>4246</v>
      </c>
      <c r="AP47">
        <f t="shared" si="20"/>
        <v>4283</v>
      </c>
      <c r="AQ47">
        <f t="shared" si="21"/>
        <v>4421</v>
      </c>
      <c r="AR47">
        <f t="shared" si="22"/>
        <v>4490</v>
      </c>
      <c r="AX47">
        <v>45</v>
      </c>
      <c r="AY47">
        <v>8026</v>
      </c>
      <c r="AZ47">
        <f t="shared" si="0"/>
        <v>243.43570894592574</v>
      </c>
      <c r="BA47">
        <f t="shared" si="1"/>
        <v>3.8936041040579673E-3</v>
      </c>
      <c r="BB47">
        <f t="shared" si="2"/>
        <v>0.18069295717970393</v>
      </c>
      <c r="BD47">
        <v>0.65157938000000004</v>
      </c>
      <c r="BE47">
        <v>86</v>
      </c>
      <c r="BF47">
        <v>7998</v>
      </c>
      <c r="BG47" s="5">
        <v>45</v>
      </c>
      <c r="BH47">
        <v>8026</v>
      </c>
      <c r="BI47" s="1">
        <v>0.95351434000000002</v>
      </c>
      <c r="BJ47">
        <v>8026</v>
      </c>
      <c r="BK47" s="5">
        <v>149</v>
      </c>
      <c r="BL47">
        <v>7612</v>
      </c>
      <c r="BN47">
        <v>46</v>
      </c>
      <c r="BP47">
        <v>46</v>
      </c>
      <c r="BR47">
        <v>46</v>
      </c>
      <c r="BT47">
        <v>71</v>
      </c>
      <c r="BV47">
        <v>71</v>
      </c>
      <c r="BX47">
        <v>68</v>
      </c>
    </row>
    <row r="48" spans="1:76" x14ac:dyDescent="0.25">
      <c r="A48">
        <v>46</v>
      </c>
      <c r="B48">
        <v>69</v>
      </c>
      <c r="C48">
        <v>26</v>
      </c>
      <c r="D48">
        <v>2</v>
      </c>
      <c r="E48">
        <v>79</v>
      </c>
      <c r="F48">
        <v>43</v>
      </c>
      <c r="G48">
        <v>91</v>
      </c>
      <c r="H48">
        <v>8</v>
      </c>
      <c r="I48">
        <v>3</v>
      </c>
      <c r="J48">
        <v>36</v>
      </c>
      <c r="K48">
        <v>62</v>
      </c>
      <c r="L48">
        <v>93</v>
      </c>
      <c r="M48">
        <v>9</v>
      </c>
      <c r="N48">
        <v>85</v>
      </c>
      <c r="O48">
        <v>64</v>
      </c>
      <c r="P48">
        <v>12</v>
      </c>
      <c r="Q48">
        <v>89</v>
      </c>
      <c r="R48">
        <v>53</v>
      </c>
      <c r="S48">
        <v>82</v>
      </c>
      <c r="T48">
        <v>97</v>
      </c>
      <c r="U48">
        <v>30</v>
      </c>
      <c r="X48">
        <v>46</v>
      </c>
      <c r="Y48">
        <f t="shared" si="3"/>
        <v>2417</v>
      </c>
      <c r="Z48">
        <f t="shared" si="4"/>
        <v>2498</v>
      </c>
      <c r="AA48">
        <f t="shared" si="5"/>
        <v>2540</v>
      </c>
      <c r="AB48">
        <f t="shared" si="6"/>
        <v>3008</v>
      </c>
      <c r="AC48">
        <f t="shared" si="7"/>
        <v>3051</v>
      </c>
      <c r="AD48">
        <f t="shared" si="8"/>
        <v>3289</v>
      </c>
      <c r="AE48">
        <f t="shared" si="9"/>
        <v>3297</v>
      </c>
      <c r="AF48">
        <f t="shared" si="10"/>
        <v>3352</v>
      </c>
      <c r="AG48">
        <f t="shared" si="11"/>
        <v>3481</v>
      </c>
      <c r="AH48">
        <f t="shared" si="12"/>
        <v>3543</v>
      </c>
      <c r="AI48">
        <f t="shared" si="13"/>
        <v>3727</v>
      </c>
      <c r="AJ48">
        <f t="shared" si="14"/>
        <v>3736</v>
      </c>
      <c r="AK48">
        <f t="shared" si="15"/>
        <v>3821</v>
      </c>
      <c r="AL48">
        <f t="shared" si="16"/>
        <v>3885</v>
      </c>
      <c r="AM48">
        <f t="shared" si="17"/>
        <v>4069</v>
      </c>
      <c r="AN48">
        <f t="shared" si="18"/>
        <v>4303</v>
      </c>
      <c r="AO48">
        <f t="shared" si="19"/>
        <v>4356</v>
      </c>
      <c r="AP48">
        <f t="shared" si="20"/>
        <v>4438</v>
      </c>
      <c r="AQ48">
        <f t="shared" si="21"/>
        <v>4535</v>
      </c>
      <c r="AR48">
        <f t="shared" si="22"/>
        <v>4565</v>
      </c>
      <c r="AX48">
        <v>46</v>
      </c>
      <c r="AY48">
        <v>7582</v>
      </c>
      <c r="AZ48">
        <f t="shared" si="0"/>
        <v>257.691242416249</v>
      </c>
      <c r="BA48">
        <f t="shared" si="1"/>
        <v>4.1216125744090275E-3</v>
      </c>
      <c r="BB48">
        <f t="shared" si="2"/>
        <v>0.18481456975411295</v>
      </c>
      <c r="BD48">
        <v>0.78450078000000001</v>
      </c>
      <c r="BE48">
        <v>128</v>
      </c>
      <c r="BF48">
        <v>7646</v>
      </c>
      <c r="BG48" s="5">
        <v>46</v>
      </c>
      <c r="BH48">
        <v>7582</v>
      </c>
      <c r="BI48" s="1">
        <v>0.13431114</v>
      </c>
      <c r="BJ48">
        <v>7582</v>
      </c>
      <c r="BK48" s="5">
        <v>45</v>
      </c>
      <c r="BL48">
        <v>7612</v>
      </c>
      <c r="BN48">
        <v>79</v>
      </c>
      <c r="BP48">
        <v>79</v>
      </c>
      <c r="BR48">
        <v>79</v>
      </c>
      <c r="BT48">
        <v>82</v>
      </c>
      <c r="BV48">
        <v>82</v>
      </c>
      <c r="BX48">
        <v>43</v>
      </c>
    </row>
    <row r="49" spans="1:76" x14ac:dyDescent="0.25">
      <c r="A49">
        <v>47</v>
      </c>
      <c r="B49">
        <v>4</v>
      </c>
      <c r="C49">
        <v>68</v>
      </c>
      <c r="D49">
        <v>52</v>
      </c>
      <c r="E49">
        <v>59</v>
      </c>
      <c r="F49">
        <v>16</v>
      </c>
      <c r="G49">
        <v>4</v>
      </c>
      <c r="H49">
        <v>42</v>
      </c>
      <c r="I49">
        <v>16</v>
      </c>
      <c r="J49">
        <v>60</v>
      </c>
      <c r="K49">
        <v>29</v>
      </c>
      <c r="L49">
        <v>78</v>
      </c>
      <c r="M49">
        <v>18</v>
      </c>
      <c r="N49">
        <v>20</v>
      </c>
      <c r="O49">
        <v>90</v>
      </c>
      <c r="P49">
        <v>81</v>
      </c>
      <c r="Q49">
        <v>75</v>
      </c>
      <c r="R49">
        <v>62</v>
      </c>
      <c r="S49">
        <v>24</v>
      </c>
      <c r="T49">
        <v>73</v>
      </c>
      <c r="U49">
        <v>38</v>
      </c>
      <c r="X49">
        <v>47</v>
      </c>
      <c r="Y49">
        <f t="shared" si="3"/>
        <v>2421</v>
      </c>
      <c r="Z49">
        <f t="shared" si="4"/>
        <v>2566</v>
      </c>
      <c r="AA49">
        <f t="shared" si="5"/>
        <v>2618</v>
      </c>
      <c r="AB49">
        <f t="shared" si="6"/>
        <v>3067</v>
      </c>
      <c r="AC49">
        <f t="shared" si="7"/>
        <v>3083</v>
      </c>
      <c r="AD49">
        <f t="shared" si="8"/>
        <v>3293</v>
      </c>
      <c r="AE49">
        <f t="shared" si="9"/>
        <v>3339</v>
      </c>
      <c r="AF49">
        <f t="shared" si="10"/>
        <v>3368</v>
      </c>
      <c r="AG49">
        <f t="shared" si="11"/>
        <v>3541</v>
      </c>
      <c r="AH49">
        <f t="shared" si="12"/>
        <v>3572</v>
      </c>
      <c r="AI49">
        <f t="shared" si="13"/>
        <v>3805</v>
      </c>
      <c r="AJ49">
        <f t="shared" si="14"/>
        <v>3823</v>
      </c>
      <c r="AK49">
        <f t="shared" si="15"/>
        <v>3843</v>
      </c>
      <c r="AL49">
        <f t="shared" si="16"/>
        <v>3975</v>
      </c>
      <c r="AM49">
        <f t="shared" si="17"/>
        <v>4150</v>
      </c>
      <c r="AN49">
        <f t="shared" si="18"/>
        <v>4378</v>
      </c>
      <c r="AO49">
        <f t="shared" si="19"/>
        <v>4440</v>
      </c>
      <c r="AP49">
        <f t="shared" si="20"/>
        <v>4464</v>
      </c>
      <c r="AQ49">
        <f t="shared" si="21"/>
        <v>4608</v>
      </c>
      <c r="AR49">
        <f t="shared" si="22"/>
        <v>4646</v>
      </c>
      <c r="AX49">
        <v>47</v>
      </c>
      <c r="AY49">
        <v>7787</v>
      </c>
      <c r="AZ49">
        <f t="shared" si="0"/>
        <v>250.90728136637986</v>
      </c>
      <c r="BA49">
        <f t="shared" si="1"/>
        <v>4.0131072992383773E-3</v>
      </c>
      <c r="BB49">
        <f t="shared" si="2"/>
        <v>0.18882767705335132</v>
      </c>
      <c r="BD49">
        <v>0.87127125000000005</v>
      </c>
      <c r="BE49">
        <v>206</v>
      </c>
      <c r="BF49">
        <v>7792</v>
      </c>
      <c r="BG49" s="5">
        <v>47</v>
      </c>
      <c r="BH49">
        <v>7787</v>
      </c>
      <c r="BI49" s="1">
        <v>0.80499445999999997</v>
      </c>
      <c r="BJ49">
        <v>7787</v>
      </c>
      <c r="BK49" s="5">
        <v>109</v>
      </c>
      <c r="BL49">
        <v>7615</v>
      </c>
      <c r="BN49">
        <v>68</v>
      </c>
      <c r="BP49">
        <v>68</v>
      </c>
      <c r="BR49">
        <v>68</v>
      </c>
      <c r="BT49">
        <v>100</v>
      </c>
      <c r="BV49">
        <v>100</v>
      </c>
      <c r="BX49">
        <v>6</v>
      </c>
    </row>
    <row r="50" spans="1:76" x14ac:dyDescent="0.25">
      <c r="A50">
        <v>48</v>
      </c>
      <c r="B50">
        <v>1</v>
      </c>
      <c r="C50">
        <v>44</v>
      </c>
      <c r="D50">
        <v>41</v>
      </c>
      <c r="E50">
        <v>71</v>
      </c>
      <c r="F50">
        <v>75</v>
      </c>
      <c r="G50">
        <v>79</v>
      </c>
      <c r="H50">
        <v>94</v>
      </c>
      <c r="I50">
        <v>89</v>
      </c>
      <c r="J50">
        <v>88</v>
      </c>
      <c r="K50">
        <v>17</v>
      </c>
      <c r="L50">
        <v>43</v>
      </c>
      <c r="M50">
        <v>26</v>
      </c>
      <c r="N50">
        <v>89</v>
      </c>
      <c r="O50">
        <v>54</v>
      </c>
      <c r="P50">
        <v>97</v>
      </c>
      <c r="Q50">
        <v>50</v>
      </c>
      <c r="R50">
        <v>35</v>
      </c>
      <c r="S50">
        <v>44</v>
      </c>
      <c r="T50">
        <v>8</v>
      </c>
      <c r="U50">
        <v>43</v>
      </c>
      <c r="X50">
        <v>48</v>
      </c>
      <c r="Y50">
        <f t="shared" si="3"/>
        <v>2422</v>
      </c>
      <c r="Z50">
        <f t="shared" si="4"/>
        <v>2610</v>
      </c>
      <c r="AA50">
        <f t="shared" si="5"/>
        <v>2659</v>
      </c>
      <c r="AB50">
        <f t="shared" si="6"/>
        <v>3138</v>
      </c>
      <c r="AC50">
        <f t="shared" si="7"/>
        <v>3213</v>
      </c>
      <c r="AD50">
        <f t="shared" si="8"/>
        <v>3372</v>
      </c>
      <c r="AE50">
        <f t="shared" si="9"/>
        <v>3466</v>
      </c>
      <c r="AF50">
        <f t="shared" si="10"/>
        <v>3555</v>
      </c>
      <c r="AG50">
        <f t="shared" si="11"/>
        <v>3643</v>
      </c>
      <c r="AH50">
        <f t="shared" si="12"/>
        <v>3660</v>
      </c>
      <c r="AI50">
        <f t="shared" si="13"/>
        <v>3848</v>
      </c>
      <c r="AJ50">
        <f t="shared" si="14"/>
        <v>3874</v>
      </c>
      <c r="AK50">
        <f t="shared" si="15"/>
        <v>3963</v>
      </c>
      <c r="AL50">
        <f t="shared" si="16"/>
        <v>4029</v>
      </c>
      <c r="AM50">
        <f t="shared" si="17"/>
        <v>4247</v>
      </c>
      <c r="AN50">
        <f t="shared" si="18"/>
        <v>4428</v>
      </c>
      <c r="AO50">
        <f t="shared" si="19"/>
        <v>4475</v>
      </c>
      <c r="AP50">
        <f t="shared" si="20"/>
        <v>4519</v>
      </c>
      <c r="AQ50">
        <f t="shared" si="21"/>
        <v>4616</v>
      </c>
      <c r="AR50">
        <f t="shared" si="22"/>
        <v>4689</v>
      </c>
      <c r="AX50">
        <v>48</v>
      </c>
      <c r="AY50">
        <v>7695</v>
      </c>
      <c r="AZ50">
        <f t="shared" si="0"/>
        <v>253.90708252111762</v>
      </c>
      <c r="BA50">
        <f t="shared" si="1"/>
        <v>4.0610872695476608E-3</v>
      </c>
      <c r="BB50">
        <f t="shared" si="2"/>
        <v>0.19288876432289898</v>
      </c>
      <c r="BD50">
        <v>0.34185581999999998</v>
      </c>
      <c r="BE50">
        <v>85</v>
      </c>
      <c r="BF50">
        <v>7653</v>
      </c>
      <c r="BG50" s="5">
        <v>48</v>
      </c>
      <c r="BH50">
        <v>7695</v>
      </c>
      <c r="BI50" s="1">
        <v>0.34122330000000001</v>
      </c>
      <c r="BJ50">
        <v>7695</v>
      </c>
      <c r="BK50" s="5">
        <v>48</v>
      </c>
      <c r="BL50">
        <v>7620</v>
      </c>
      <c r="BN50">
        <v>66</v>
      </c>
      <c r="BP50">
        <v>66</v>
      </c>
      <c r="BR50">
        <v>66</v>
      </c>
      <c r="BT50">
        <v>79</v>
      </c>
      <c r="BV50">
        <v>79</v>
      </c>
      <c r="BX50">
        <v>35</v>
      </c>
    </row>
    <row r="51" spans="1:76" x14ac:dyDescent="0.25">
      <c r="A51">
        <v>49</v>
      </c>
      <c r="B51">
        <v>95</v>
      </c>
      <c r="C51">
        <v>78</v>
      </c>
      <c r="D51">
        <v>20</v>
      </c>
      <c r="E51">
        <v>65</v>
      </c>
      <c r="F51">
        <v>15</v>
      </c>
      <c r="G51">
        <v>35</v>
      </c>
      <c r="H51">
        <v>26</v>
      </c>
      <c r="I51">
        <v>14</v>
      </c>
      <c r="J51">
        <v>12</v>
      </c>
      <c r="K51">
        <v>3</v>
      </c>
      <c r="L51">
        <v>36</v>
      </c>
      <c r="M51">
        <v>16</v>
      </c>
      <c r="N51">
        <v>15</v>
      </c>
      <c r="O51">
        <v>6</v>
      </c>
      <c r="P51">
        <v>26</v>
      </c>
      <c r="Q51">
        <v>65</v>
      </c>
      <c r="R51">
        <v>45</v>
      </c>
      <c r="S51">
        <v>15</v>
      </c>
      <c r="T51">
        <v>68</v>
      </c>
      <c r="U51">
        <v>40</v>
      </c>
      <c r="X51">
        <v>49</v>
      </c>
      <c r="Y51">
        <f t="shared" si="3"/>
        <v>2517</v>
      </c>
      <c r="Z51">
        <f t="shared" si="4"/>
        <v>2688</v>
      </c>
      <c r="AA51">
        <f t="shared" si="5"/>
        <v>2708</v>
      </c>
      <c r="AB51">
        <f t="shared" si="6"/>
        <v>3203</v>
      </c>
      <c r="AC51">
        <f t="shared" si="7"/>
        <v>3228</v>
      </c>
      <c r="AD51">
        <f t="shared" si="8"/>
        <v>3407</v>
      </c>
      <c r="AE51">
        <f t="shared" si="9"/>
        <v>3492</v>
      </c>
      <c r="AF51">
        <f t="shared" si="10"/>
        <v>3569</v>
      </c>
      <c r="AG51">
        <f t="shared" si="11"/>
        <v>3655</v>
      </c>
      <c r="AH51">
        <f t="shared" si="12"/>
        <v>3663</v>
      </c>
      <c r="AI51">
        <f t="shared" si="13"/>
        <v>3884</v>
      </c>
      <c r="AJ51">
        <f t="shared" si="14"/>
        <v>3900</v>
      </c>
      <c r="AK51">
        <f t="shared" si="15"/>
        <v>3978</v>
      </c>
      <c r="AL51">
        <f t="shared" si="16"/>
        <v>4035</v>
      </c>
      <c r="AM51">
        <f t="shared" si="17"/>
        <v>4273</v>
      </c>
      <c r="AN51">
        <f t="shared" si="18"/>
        <v>4493</v>
      </c>
      <c r="AO51">
        <f t="shared" si="19"/>
        <v>4538</v>
      </c>
      <c r="AP51">
        <f t="shared" si="20"/>
        <v>4553</v>
      </c>
      <c r="AQ51">
        <f t="shared" si="21"/>
        <v>4684</v>
      </c>
      <c r="AR51">
        <f t="shared" si="22"/>
        <v>4729</v>
      </c>
      <c r="AX51">
        <v>49</v>
      </c>
      <c r="AY51">
        <v>7841</v>
      </c>
      <c r="AZ51">
        <f t="shared" si="0"/>
        <v>249.17931386302769</v>
      </c>
      <c r="BA51">
        <f t="shared" si="1"/>
        <v>3.9854695241894212E-3</v>
      </c>
      <c r="BB51">
        <f t="shared" si="2"/>
        <v>0.19687423384708841</v>
      </c>
      <c r="BD51">
        <v>0.17491412000000001</v>
      </c>
      <c r="BE51">
        <v>11</v>
      </c>
      <c r="BF51">
        <v>7767</v>
      </c>
      <c r="BG51" s="5">
        <v>49</v>
      </c>
      <c r="BH51">
        <v>7841</v>
      </c>
      <c r="BI51" s="1">
        <v>0.52520036999999997</v>
      </c>
      <c r="BJ51">
        <v>7841</v>
      </c>
      <c r="BK51" s="5">
        <v>191</v>
      </c>
      <c r="BL51">
        <v>7622</v>
      </c>
      <c r="BN51">
        <v>16</v>
      </c>
      <c r="BP51">
        <v>16</v>
      </c>
      <c r="BR51">
        <v>16</v>
      </c>
      <c r="BT51">
        <v>95</v>
      </c>
      <c r="BV51">
        <v>95</v>
      </c>
      <c r="BX51">
        <v>44</v>
      </c>
    </row>
    <row r="52" spans="1:76" x14ac:dyDescent="0.25">
      <c r="A52">
        <v>50</v>
      </c>
      <c r="B52">
        <v>16</v>
      </c>
      <c r="C52">
        <v>37</v>
      </c>
      <c r="D52">
        <v>53</v>
      </c>
      <c r="E52">
        <v>25</v>
      </c>
      <c r="F52">
        <v>81</v>
      </c>
      <c r="G52">
        <v>37</v>
      </c>
      <c r="H52">
        <v>69</v>
      </c>
      <c r="I52">
        <v>1</v>
      </c>
      <c r="J52">
        <v>76</v>
      </c>
      <c r="K52">
        <v>70</v>
      </c>
      <c r="L52">
        <v>51</v>
      </c>
      <c r="M52">
        <v>64</v>
      </c>
      <c r="N52">
        <v>50</v>
      </c>
      <c r="O52">
        <v>85</v>
      </c>
      <c r="P52">
        <v>77</v>
      </c>
      <c r="Q52">
        <v>9</v>
      </c>
      <c r="R52">
        <v>27</v>
      </c>
      <c r="S52">
        <v>16</v>
      </c>
      <c r="T52">
        <v>54</v>
      </c>
      <c r="U52">
        <v>56</v>
      </c>
      <c r="X52">
        <v>50</v>
      </c>
      <c r="Y52">
        <f t="shared" si="3"/>
        <v>2533</v>
      </c>
      <c r="Z52">
        <f t="shared" si="4"/>
        <v>2725</v>
      </c>
      <c r="AA52">
        <f t="shared" si="5"/>
        <v>2778</v>
      </c>
      <c r="AB52">
        <f t="shared" si="6"/>
        <v>3228</v>
      </c>
      <c r="AC52">
        <f t="shared" si="7"/>
        <v>3309</v>
      </c>
      <c r="AD52">
        <f t="shared" si="8"/>
        <v>3444</v>
      </c>
      <c r="AE52">
        <f t="shared" si="9"/>
        <v>3561</v>
      </c>
      <c r="AF52">
        <f t="shared" si="10"/>
        <v>3570</v>
      </c>
      <c r="AG52">
        <f t="shared" si="11"/>
        <v>3731</v>
      </c>
      <c r="AH52">
        <f t="shared" si="12"/>
        <v>3801</v>
      </c>
      <c r="AI52">
        <f t="shared" si="13"/>
        <v>3935</v>
      </c>
      <c r="AJ52">
        <f t="shared" si="14"/>
        <v>3999</v>
      </c>
      <c r="AK52">
        <f t="shared" si="15"/>
        <v>4049</v>
      </c>
      <c r="AL52">
        <f t="shared" si="16"/>
        <v>4134</v>
      </c>
      <c r="AM52">
        <f t="shared" si="17"/>
        <v>4350</v>
      </c>
      <c r="AN52">
        <f t="shared" si="18"/>
        <v>4502</v>
      </c>
      <c r="AO52">
        <f t="shared" si="19"/>
        <v>4565</v>
      </c>
      <c r="AP52">
        <f t="shared" si="20"/>
        <v>4581</v>
      </c>
      <c r="AQ52">
        <f t="shared" si="21"/>
        <v>4738</v>
      </c>
      <c r="AR52">
        <f t="shared" si="22"/>
        <v>4794</v>
      </c>
      <c r="AX52">
        <v>50</v>
      </c>
      <c r="AY52">
        <v>7982</v>
      </c>
      <c r="AZ52">
        <f t="shared" si="0"/>
        <v>244.77762465547482</v>
      </c>
      <c r="BA52">
        <f t="shared" si="1"/>
        <v>3.9150672186380915E-3</v>
      </c>
      <c r="BB52">
        <f t="shared" si="2"/>
        <v>0.20078930106572651</v>
      </c>
      <c r="BD52">
        <v>0.62880318999999996</v>
      </c>
      <c r="BE52">
        <v>61</v>
      </c>
      <c r="BF52">
        <v>7777</v>
      </c>
      <c r="BG52" s="5">
        <v>50</v>
      </c>
      <c r="BH52">
        <v>7982</v>
      </c>
      <c r="BI52" s="1">
        <v>0.28277844000000002</v>
      </c>
      <c r="BJ52">
        <v>7982</v>
      </c>
      <c r="BK52" s="5">
        <v>203</v>
      </c>
      <c r="BL52">
        <v>7624</v>
      </c>
      <c r="BN52">
        <v>91</v>
      </c>
      <c r="BP52">
        <v>91</v>
      </c>
      <c r="BR52">
        <v>91</v>
      </c>
      <c r="BT52">
        <v>34</v>
      </c>
      <c r="BV52">
        <v>34</v>
      </c>
      <c r="BX52">
        <v>28</v>
      </c>
    </row>
    <row r="53" spans="1:76" x14ac:dyDescent="0.25">
      <c r="A53">
        <v>51</v>
      </c>
      <c r="B53">
        <v>30</v>
      </c>
      <c r="C53">
        <v>81</v>
      </c>
      <c r="D53">
        <v>45</v>
      </c>
      <c r="E53">
        <v>36</v>
      </c>
      <c r="F53">
        <v>43</v>
      </c>
      <c r="G53">
        <v>42</v>
      </c>
      <c r="H53">
        <v>35</v>
      </c>
      <c r="I53">
        <v>6</v>
      </c>
      <c r="J53">
        <v>94</v>
      </c>
      <c r="K53">
        <v>14</v>
      </c>
      <c r="L53">
        <v>45</v>
      </c>
      <c r="M53">
        <v>37</v>
      </c>
      <c r="N53">
        <v>44</v>
      </c>
      <c r="O53">
        <v>58</v>
      </c>
      <c r="P53">
        <v>69</v>
      </c>
      <c r="Q53">
        <v>56</v>
      </c>
      <c r="R53">
        <v>88</v>
      </c>
      <c r="S53">
        <v>15</v>
      </c>
      <c r="T53">
        <v>95</v>
      </c>
      <c r="U53">
        <v>31</v>
      </c>
      <c r="X53">
        <v>51</v>
      </c>
      <c r="Y53">
        <f t="shared" si="3"/>
        <v>2563</v>
      </c>
      <c r="Z53">
        <f t="shared" si="4"/>
        <v>2806</v>
      </c>
      <c r="AA53">
        <f t="shared" si="5"/>
        <v>2851</v>
      </c>
      <c r="AB53">
        <f t="shared" si="6"/>
        <v>3264</v>
      </c>
      <c r="AC53">
        <f t="shared" si="7"/>
        <v>3352</v>
      </c>
      <c r="AD53">
        <f t="shared" si="8"/>
        <v>3486</v>
      </c>
      <c r="AE53">
        <f t="shared" si="9"/>
        <v>3596</v>
      </c>
      <c r="AF53">
        <f t="shared" si="10"/>
        <v>3602</v>
      </c>
      <c r="AG53">
        <f t="shared" si="11"/>
        <v>3825</v>
      </c>
      <c r="AH53">
        <f t="shared" si="12"/>
        <v>3839</v>
      </c>
      <c r="AI53">
        <f t="shared" si="13"/>
        <v>3980</v>
      </c>
      <c r="AJ53">
        <f t="shared" si="14"/>
        <v>4036</v>
      </c>
      <c r="AK53">
        <f t="shared" si="15"/>
        <v>4093</v>
      </c>
      <c r="AL53">
        <f t="shared" si="16"/>
        <v>4192</v>
      </c>
      <c r="AM53">
        <f t="shared" si="17"/>
        <v>4419</v>
      </c>
      <c r="AN53">
        <f t="shared" si="18"/>
        <v>4558</v>
      </c>
      <c r="AO53">
        <f t="shared" si="19"/>
        <v>4653</v>
      </c>
      <c r="AP53">
        <f t="shared" si="20"/>
        <v>4668</v>
      </c>
      <c r="AQ53">
        <f t="shared" si="21"/>
        <v>4833</v>
      </c>
      <c r="AR53">
        <f t="shared" si="22"/>
        <v>4864</v>
      </c>
      <c r="AX53">
        <v>51</v>
      </c>
      <c r="AY53">
        <v>7773</v>
      </c>
      <c r="AZ53">
        <f t="shared" si="0"/>
        <v>251.35919207513186</v>
      </c>
      <c r="BA53">
        <f t="shared" si="1"/>
        <v>4.0203353324545534E-3</v>
      </c>
      <c r="BB53">
        <f t="shared" si="2"/>
        <v>0.20480963639818106</v>
      </c>
      <c r="BD53">
        <v>0.34544407999999999</v>
      </c>
      <c r="BE53">
        <v>117</v>
      </c>
      <c r="BF53">
        <v>7819</v>
      </c>
      <c r="BG53" s="5">
        <v>51</v>
      </c>
      <c r="BH53">
        <v>7790</v>
      </c>
      <c r="BI53" s="2">
        <v>1.9016390000000001E-2</v>
      </c>
      <c r="BJ53">
        <v>7773</v>
      </c>
      <c r="BK53" s="5">
        <v>95</v>
      </c>
      <c r="BL53">
        <v>7626</v>
      </c>
      <c r="BN53">
        <v>63</v>
      </c>
      <c r="BP53">
        <v>63</v>
      </c>
      <c r="BR53">
        <v>63</v>
      </c>
      <c r="BT53">
        <v>89</v>
      </c>
      <c r="BV53">
        <v>89</v>
      </c>
      <c r="BX53">
        <v>89</v>
      </c>
    </row>
    <row r="54" spans="1:76" x14ac:dyDescent="0.25">
      <c r="A54">
        <v>52</v>
      </c>
      <c r="B54">
        <v>40</v>
      </c>
      <c r="C54">
        <v>74</v>
      </c>
      <c r="D54">
        <v>70</v>
      </c>
      <c r="E54">
        <v>88</v>
      </c>
      <c r="F54">
        <v>88</v>
      </c>
      <c r="G54">
        <v>95</v>
      </c>
      <c r="H54">
        <v>19</v>
      </c>
      <c r="I54">
        <v>96</v>
      </c>
      <c r="J54">
        <v>78</v>
      </c>
      <c r="K54">
        <v>44</v>
      </c>
      <c r="L54">
        <v>72</v>
      </c>
      <c r="M54">
        <v>53</v>
      </c>
      <c r="N54">
        <v>3</v>
      </c>
      <c r="O54">
        <v>7</v>
      </c>
      <c r="P54">
        <v>67</v>
      </c>
      <c r="Q54">
        <v>12</v>
      </c>
      <c r="R54">
        <v>35</v>
      </c>
      <c r="S54">
        <v>81</v>
      </c>
      <c r="T54">
        <v>6</v>
      </c>
      <c r="U54">
        <v>23</v>
      </c>
      <c r="X54">
        <v>52</v>
      </c>
      <c r="Y54">
        <f t="shared" si="3"/>
        <v>2603</v>
      </c>
      <c r="Z54">
        <f t="shared" si="4"/>
        <v>2880</v>
      </c>
      <c r="AA54">
        <f t="shared" si="5"/>
        <v>2950</v>
      </c>
      <c r="AB54">
        <f t="shared" si="6"/>
        <v>3352</v>
      </c>
      <c r="AC54">
        <f t="shared" si="7"/>
        <v>3440</v>
      </c>
      <c r="AD54">
        <f t="shared" si="8"/>
        <v>3581</v>
      </c>
      <c r="AE54">
        <f t="shared" si="9"/>
        <v>3615</v>
      </c>
      <c r="AF54">
        <f t="shared" si="10"/>
        <v>3711</v>
      </c>
      <c r="AG54">
        <f t="shared" si="11"/>
        <v>3903</v>
      </c>
      <c r="AH54">
        <f t="shared" si="12"/>
        <v>3947</v>
      </c>
      <c r="AI54">
        <f t="shared" si="13"/>
        <v>4052</v>
      </c>
      <c r="AJ54">
        <f t="shared" si="14"/>
        <v>4105</v>
      </c>
      <c r="AK54">
        <f t="shared" si="15"/>
        <v>4108</v>
      </c>
      <c r="AL54">
        <f t="shared" si="16"/>
        <v>4199</v>
      </c>
      <c r="AM54">
        <f t="shared" si="17"/>
        <v>4486</v>
      </c>
      <c r="AN54">
        <f t="shared" si="18"/>
        <v>4570</v>
      </c>
      <c r="AO54">
        <f t="shared" si="19"/>
        <v>4688</v>
      </c>
      <c r="AP54">
        <f t="shared" si="20"/>
        <v>4769</v>
      </c>
      <c r="AQ54">
        <f t="shared" si="21"/>
        <v>4839</v>
      </c>
      <c r="AR54">
        <f t="shared" si="22"/>
        <v>4887</v>
      </c>
      <c r="AX54">
        <v>52</v>
      </c>
      <c r="AY54">
        <v>7592</v>
      </c>
      <c r="AZ54">
        <f t="shared" si="0"/>
        <v>257.3518177028451</v>
      </c>
      <c r="BA54">
        <f t="shared" si="1"/>
        <v>4.1161836853489528E-3</v>
      </c>
      <c r="BB54">
        <f t="shared" si="2"/>
        <v>0.20892582008353</v>
      </c>
      <c r="BD54">
        <v>0.14809710000000001</v>
      </c>
      <c r="BE54">
        <v>56</v>
      </c>
      <c r="BF54">
        <v>7724</v>
      </c>
      <c r="BG54" s="5">
        <v>52</v>
      </c>
      <c r="BH54">
        <v>7592</v>
      </c>
      <c r="BI54" s="1">
        <v>0.59085648999999996</v>
      </c>
      <c r="BJ54">
        <v>7592</v>
      </c>
      <c r="BK54" s="5">
        <v>32</v>
      </c>
      <c r="BL54">
        <v>7631</v>
      </c>
      <c r="BN54">
        <v>61</v>
      </c>
      <c r="BP54">
        <v>61</v>
      </c>
      <c r="BR54">
        <v>61</v>
      </c>
      <c r="BT54">
        <v>84</v>
      </c>
      <c r="BV54">
        <v>84</v>
      </c>
      <c r="BX54">
        <v>76</v>
      </c>
    </row>
    <row r="55" spans="1:76" x14ac:dyDescent="0.25">
      <c r="A55">
        <v>53</v>
      </c>
      <c r="B55">
        <v>92</v>
      </c>
      <c r="C55">
        <v>75</v>
      </c>
      <c r="D55">
        <v>51</v>
      </c>
      <c r="E55">
        <v>37</v>
      </c>
      <c r="F55">
        <v>23</v>
      </c>
      <c r="G55">
        <v>84</v>
      </c>
      <c r="H55">
        <v>94</v>
      </c>
      <c r="I55">
        <v>8</v>
      </c>
      <c r="J55">
        <v>22</v>
      </c>
      <c r="K55">
        <v>73</v>
      </c>
      <c r="L55">
        <v>74</v>
      </c>
      <c r="M55">
        <v>87</v>
      </c>
      <c r="N55">
        <v>12</v>
      </c>
      <c r="O55">
        <v>94</v>
      </c>
      <c r="P55">
        <v>4</v>
      </c>
      <c r="Q55">
        <v>36</v>
      </c>
      <c r="R55">
        <v>53</v>
      </c>
      <c r="S55">
        <v>56</v>
      </c>
      <c r="T55">
        <v>1</v>
      </c>
      <c r="U55">
        <v>85</v>
      </c>
      <c r="X55">
        <v>53</v>
      </c>
      <c r="Y55">
        <f t="shared" si="3"/>
        <v>2695</v>
      </c>
      <c r="Z55">
        <f t="shared" si="4"/>
        <v>2955</v>
      </c>
      <c r="AA55">
        <f t="shared" si="5"/>
        <v>3006</v>
      </c>
      <c r="AB55">
        <f t="shared" si="6"/>
        <v>3389</v>
      </c>
      <c r="AC55">
        <f t="shared" si="7"/>
        <v>3463</v>
      </c>
      <c r="AD55">
        <f t="shared" si="8"/>
        <v>3665</v>
      </c>
      <c r="AE55">
        <f t="shared" si="9"/>
        <v>3759</v>
      </c>
      <c r="AF55">
        <f t="shared" si="10"/>
        <v>3767</v>
      </c>
      <c r="AG55">
        <f t="shared" si="11"/>
        <v>3925</v>
      </c>
      <c r="AH55">
        <f t="shared" si="12"/>
        <v>4020</v>
      </c>
      <c r="AI55">
        <f t="shared" si="13"/>
        <v>4126</v>
      </c>
      <c r="AJ55">
        <f t="shared" si="14"/>
        <v>4213</v>
      </c>
      <c r="AK55">
        <f t="shared" si="15"/>
        <v>4225</v>
      </c>
      <c r="AL55">
        <f t="shared" si="16"/>
        <v>4319</v>
      </c>
      <c r="AM55">
        <f t="shared" si="17"/>
        <v>4490</v>
      </c>
      <c r="AN55">
        <f t="shared" si="18"/>
        <v>4606</v>
      </c>
      <c r="AO55">
        <f t="shared" si="19"/>
        <v>4741</v>
      </c>
      <c r="AP55">
        <f t="shared" si="20"/>
        <v>4825</v>
      </c>
      <c r="AQ55">
        <f t="shared" si="21"/>
        <v>4840</v>
      </c>
      <c r="AR55">
        <f t="shared" si="22"/>
        <v>4972</v>
      </c>
      <c r="AX55">
        <v>53</v>
      </c>
      <c r="AY55">
        <v>7745</v>
      </c>
      <c r="AZ55">
        <f t="shared" si="0"/>
        <v>252.26791478373144</v>
      </c>
      <c r="BA55">
        <f t="shared" si="1"/>
        <v>4.0348697920166874E-3</v>
      </c>
      <c r="BB55">
        <f t="shared" si="2"/>
        <v>0.2129606898755467</v>
      </c>
      <c r="BD55">
        <v>0.319911</v>
      </c>
      <c r="BE55">
        <v>133</v>
      </c>
      <c r="BF55">
        <v>7595</v>
      </c>
      <c r="BG55" s="5">
        <v>53</v>
      </c>
      <c r="BH55">
        <v>7745</v>
      </c>
      <c r="BI55" s="1">
        <v>0.50811231000000001</v>
      </c>
      <c r="BJ55">
        <v>7745</v>
      </c>
      <c r="BK55" s="5">
        <v>77</v>
      </c>
      <c r="BL55">
        <v>7636</v>
      </c>
      <c r="BN55">
        <v>99</v>
      </c>
      <c r="BP55">
        <v>99</v>
      </c>
      <c r="BR55">
        <v>99</v>
      </c>
      <c r="BT55">
        <v>8</v>
      </c>
      <c r="BV55">
        <v>8</v>
      </c>
      <c r="BX55">
        <v>56</v>
      </c>
    </row>
    <row r="56" spans="1:76" x14ac:dyDescent="0.25">
      <c r="A56">
        <v>54</v>
      </c>
      <c r="B56">
        <v>77</v>
      </c>
      <c r="C56">
        <v>7</v>
      </c>
      <c r="D56">
        <v>83</v>
      </c>
      <c r="E56">
        <v>7</v>
      </c>
      <c r="F56">
        <v>1</v>
      </c>
      <c r="G56">
        <v>53</v>
      </c>
      <c r="H56">
        <v>26</v>
      </c>
      <c r="I56">
        <v>13</v>
      </c>
      <c r="J56">
        <v>74</v>
      </c>
      <c r="K56">
        <v>89</v>
      </c>
      <c r="L56">
        <v>36</v>
      </c>
      <c r="M56">
        <v>68</v>
      </c>
      <c r="N56">
        <v>73</v>
      </c>
      <c r="O56">
        <v>5</v>
      </c>
      <c r="P56">
        <v>68</v>
      </c>
      <c r="Q56">
        <v>19</v>
      </c>
      <c r="R56">
        <v>13</v>
      </c>
      <c r="S56">
        <v>35</v>
      </c>
      <c r="T56">
        <v>43</v>
      </c>
      <c r="U56">
        <v>94</v>
      </c>
      <c r="X56">
        <v>54</v>
      </c>
      <c r="Y56">
        <f t="shared" si="3"/>
        <v>2772</v>
      </c>
      <c r="Z56">
        <f t="shared" si="4"/>
        <v>2962</v>
      </c>
      <c r="AA56">
        <f t="shared" si="5"/>
        <v>3089</v>
      </c>
      <c r="AB56">
        <f t="shared" si="6"/>
        <v>3396</v>
      </c>
      <c r="AC56">
        <f t="shared" si="7"/>
        <v>3464</v>
      </c>
      <c r="AD56">
        <f t="shared" si="8"/>
        <v>3718</v>
      </c>
      <c r="AE56">
        <f t="shared" si="9"/>
        <v>3785</v>
      </c>
      <c r="AF56">
        <f t="shared" si="10"/>
        <v>3798</v>
      </c>
      <c r="AG56">
        <f t="shared" si="11"/>
        <v>3999</v>
      </c>
      <c r="AH56">
        <f t="shared" si="12"/>
        <v>4109</v>
      </c>
      <c r="AI56">
        <f t="shared" si="13"/>
        <v>4162</v>
      </c>
      <c r="AJ56">
        <f t="shared" si="14"/>
        <v>4281</v>
      </c>
      <c r="AK56">
        <f t="shared" si="15"/>
        <v>4354</v>
      </c>
      <c r="AL56">
        <f t="shared" si="16"/>
        <v>4359</v>
      </c>
      <c r="AM56">
        <f t="shared" si="17"/>
        <v>4558</v>
      </c>
      <c r="AN56">
        <f t="shared" si="18"/>
        <v>4625</v>
      </c>
      <c r="AO56">
        <f t="shared" si="19"/>
        <v>4754</v>
      </c>
      <c r="AP56">
        <f t="shared" si="20"/>
        <v>4860</v>
      </c>
      <c r="AQ56">
        <f t="shared" si="21"/>
        <v>4903</v>
      </c>
      <c r="AR56">
        <f t="shared" si="22"/>
        <v>5066</v>
      </c>
      <c r="AX56">
        <v>54</v>
      </c>
      <c r="AY56">
        <v>7738</v>
      </c>
      <c r="AZ56">
        <f t="shared" si="0"/>
        <v>252.4961230292065</v>
      </c>
      <c r="BA56">
        <f t="shared" si="1"/>
        <v>4.0385198422291605E-3</v>
      </c>
      <c r="BB56">
        <f t="shared" si="2"/>
        <v>0.21699920971777586</v>
      </c>
      <c r="BD56">
        <v>0.75265044000000003</v>
      </c>
      <c r="BE56">
        <v>232</v>
      </c>
      <c r="BF56">
        <v>7810</v>
      </c>
      <c r="BG56" s="5">
        <v>54</v>
      </c>
      <c r="BH56">
        <v>7738</v>
      </c>
      <c r="BI56" s="1">
        <v>0.51360804000000004</v>
      </c>
      <c r="BJ56">
        <v>7738</v>
      </c>
      <c r="BK56" s="5">
        <v>161</v>
      </c>
      <c r="BL56">
        <v>7639</v>
      </c>
      <c r="BN56">
        <v>67</v>
      </c>
      <c r="BP56">
        <v>67</v>
      </c>
      <c r="BR56">
        <v>67</v>
      </c>
      <c r="BT56">
        <v>43</v>
      </c>
      <c r="BV56">
        <v>43</v>
      </c>
      <c r="BX56">
        <v>64</v>
      </c>
    </row>
    <row r="57" spans="1:76" x14ac:dyDescent="0.25">
      <c r="A57">
        <v>55</v>
      </c>
      <c r="B57">
        <v>67</v>
      </c>
      <c r="C57">
        <v>23</v>
      </c>
      <c r="D57">
        <v>54</v>
      </c>
      <c r="E57">
        <v>11</v>
      </c>
      <c r="F57">
        <v>4</v>
      </c>
      <c r="G57">
        <v>27</v>
      </c>
      <c r="H57">
        <v>93</v>
      </c>
      <c r="I57">
        <v>32</v>
      </c>
      <c r="J57">
        <v>2</v>
      </c>
      <c r="K57">
        <v>71</v>
      </c>
      <c r="L57">
        <v>35</v>
      </c>
      <c r="M57">
        <v>64</v>
      </c>
      <c r="N57">
        <v>61</v>
      </c>
      <c r="O57">
        <v>6</v>
      </c>
      <c r="P57">
        <v>51</v>
      </c>
      <c r="Q57">
        <v>50</v>
      </c>
      <c r="R57">
        <v>7</v>
      </c>
      <c r="S57">
        <v>27</v>
      </c>
      <c r="T57">
        <v>19</v>
      </c>
      <c r="U57">
        <v>55</v>
      </c>
      <c r="X57">
        <v>55</v>
      </c>
      <c r="Y57">
        <f t="shared" si="3"/>
        <v>2839</v>
      </c>
      <c r="Z57">
        <f t="shared" si="4"/>
        <v>2985</v>
      </c>
      <c r="AA57">
        <f t="shared" si="5"/>
        <v>3143</v>
      </c>
      <c r="AB57">
        <f t="shared" si="6"/>
        <v>3407</v>
      </c>
      <c r="AC57">
        <f t="shared" si="7"/>
        <v>3468</v>
      </c>
      <c r="AD57">
        <f t="shared" si="8"/>
        <v>3745</v>
      </c>
      <c r="AE57">
        <f t="shared" si="9"/>
        <v>3878</v>
      </c>
      <c r="AF57">
        <f t="shared" si="10"/>
        <v>3910</v>
      </c>
      <c r="AG57">
        <f t="shared" si="11"/>
        <v>4001</v>
      </c>
      <c r="AH57">
        <f t="shared" si="12"/>
        <v>4180</v>
      </c>
      <c r="AI57">
        <f t="shared" si="13"/>
        <v>4215</v>
      </c>
      <c r="AJ57">
        <f t="shared" si="14"/>
        <v>4345</v>
      </c>
      <c r="AK57">
        <f t="shared" si="15"/>
        <v>4415</v>
      </c>
      <c r="AL57">
        <f t="shared" si="16"/>
        <v>4421</v>
      </c>
      <c r="AM57">
        <f t="shared" si="17"/>
        <v>4609</v>
      </c>
      <c r="AN57">
        <f t="shared" si="18"/>
        <v>4675</v>
      </c>
      <c r="AO57">
        <f t="shared" si="19"/>
        <v>4761</v>
      </c>
      <c r="AP57">
        <f t="shared" si="20"/>
        <v>4887</v>
      </c>
      <c r="AQ57">
        <f t="shared" si="21"/>
        <v>4922</v>
      </c>
      <c r="AR57">
        <f t="shared" si="22"/>
        <v>5121</v>
      </c>
      <c r="AX57">
        <v>55</v>
      </c>
      <c r="AY57">
        <v>7740</v>
      </c>
      <c r="AZ57">
        <f t="shared" si="0"/>
        <v>252.43087855297156</v>
      </c>
      <c r="BA57">
        <f t="shared" si="1"/>
        <v>4.0374762970502905E-3</v>
      </c>
      <c r="BB57">
        <f t="shared" si="2"/>
        <v>0.22103668601482615</v>
      </c>
      <c r="BD57">
        <v>0.54738867000000002</v>
      </c>
      <c r="BE57">
        <v>69</v>
      </c>
      <c r="BF57">
        <v>7764</v>
      </c>
      <c r="BG57" s="5">
        <v>55</v>
      </c>
      <c r="BH57">
        <v>7740</v>
      </c>
      <c r="BI57" s="1">
        <v>0.66283130999999995</v>
      </c>
      <c r="BJ57">
        <v>7740</v>
      </c>
      <c r="BK57" s="5">
        <v>58</v>
      </c>
      <c r="BL57">
        <v>7641</v>
      </c>
      <c r="BN57">
        <v>83</v>
      </c>
      <c r="BP57">
        <v>83</v>
      </c>
      <c r="BR57">
        <v>83</v>
      </c>
      <c r="BT57">
        <v>97</v>
      </c>
      <c r="BV57">
        <v>97</v>
      </c>
      <c r="BX57">
        <v>46</v>
      </c>
    </row>
    <row r="58" spans="1:76" x14ac:dyDescent="0.25">
      <c r="A58">
        <v>56</v>
      </c>
      <c r="B58">
        <v>93</v>
      </c>
      <c r="C58">
        <v>24</v>
      </c>
      <c r="D58">
        <v>62</v>
      </c>
      <c r="E58">
        <v>61</v>
      </c>
      <c r="F58">
        <v>10</v>
      </c>
      <c r="G58">
        <v>61</v>
      </c>
      <c r="H58">
        <v>88</v>
      </c>
      <c r="I58">
        <v>64</v>
      </c>
      <c r="J58">
        <v>99</v>
      </c>
      <c r="K58">
        <v>21</v>
      </c>
      <c r="L58">
        <v>41</v>
      </c>
      <c r="M58">
        <v>47</v>
      </c>
      <c r="N58">
        <v>34</v>
      </c>
      <c r="O58">
        <v>5</v>
      </c>
      <c r="P58">
        <v>49</v>
      </c>
      <c r="Q58">
        <v>60</v>
      </c>
      <c r="R58">
        <v>74</v>
      </c>
      <c r="S58">
        <v>43</v>
      </c>
      <c r="T58">
        <v>48</v>
      </c>
      <c r="U58">
        <v>94</v>
      </c>
      <c r="X58">
        <v>56</v>
      </c>
      <c r="Y58">
        <f t="shared" si="3"/>
        <v>2932</v>
      </c>
      <c r="Z58">
        <f t="shared" si="4"/>
        <v>3009</v>
      </c>
      <c r="AA58">
        <f t="shared" si="5"/>
        <v>3205</v>
      </c>
      <c r="AB58">
        <f t="shared" si="6"/>
        <v>3468</v>
      </c>
      <c r="AC58">
        <f t="shared" si="7"/>
        <v>3478</v>
      </c>
      <c r="AD58">
        <f t="shared" si="8"/>
        <v>3806</v>
      </c>
      <c r="AE58">
        <f t="shared" si="9"/>
        <v>3966</v>
      </c>
      <c r="AF58">
        <f t="shared" si="10"/>
        <v>4030</v>
      </c>
      <c r="AG58">
        <f t="shared" si="11"/>
        <v>4129</v>
      </c>
      <c r="AH58">
        <f t="shared" si="12"/>
        <v>4201</v>
      </c>
      <c r="AI58">
        <f t="shared" si="13"/>
        <v>4256</v>
      </c>
      <c r="AJ58">
        <f t="shared" si="14"/>
        <v>4392</v>
      </c>
      <c r="AK58">
        <f t="shared" si="15"/>
        <v>4449</v>
      </c>
      <c r="AL58">
        <f t="shared" si="16"/>
        <v>4454</v>
      </c>
      <c r="AM58">
        <f t="shared" si="17"/>
        <v>4658</v>
      </c>
      <c r="AN58">
        <f t="shared" si="18"/>
        <v>4735</v>
      </c>
      <c r="AO58">
        <f t="shared" si="19"/>
        <v>4835</v>
      </c>
      <c r="AP58">
        <f t="shared" si="20"/>
        <v>4930</v>
      </c>
      <c r="AQ58">
        <f t="shared" si="21"/>
        <v>4978</v>
      </c>
      <c r="AR58">
        <f t="shared" si="22"/>
        <v>5215</v>
      </c>
      <c r="AX58">
        <v>56</v>
      </c>
      <c r="AY58">
        <v>7779</v>
      </c>
      <c r="AZ58">
        <f t="shared" si="0"/>
        <v>251.1653168787762</v>
      </c>
      <c r="BA58">
        <f t="shared" si="1"/>
        <v>4.0172344181989006E-3</v>
      </c>
      <c r="BB58">
        <f t="shared" si="2"/>
        <v>0.22505392043302505</v>
      </c>
      <c r="BD58">
        <v>7.1804339999999994E-2</v>
      </c>
      <c r="BE58">
        <v>75</v>
      </c>
      <c r="BF58">
        <v>7720</v>
      </c>
      <c r="BG58" s="5">
        <v>56</v>
      </c>
      <c r="BH58">
        <v>7779</v>
      </c>
      <c r="BI58" s="1">
        <v>0.40553014999999998</v>
      </c>
      <c r="BJ58">
        <v>7779</v>
      </c>
      <c r="BK58" s="5">
        <v>181</v>
      </c>
      <c r="BL58">
        <v>7646</v>
      </c>
      <c r="BN58">
        <v>95</v>
      </c>
      <c r="BP58">
        <v>95</v>
      </c>
      <c r="BR58">
        <v>95</v>
      </c>
      <c r="BT58">
        <v>42</v>
      </c>
      <c r="BV58">
        <v>42</v>
      </c>
      <c r="BX58">
        <v>99</v>
      </c>
    </row>
    <row r="59" spans="1:76" x14ac:dyDescent="0.25">
      <c r="A59">
        <v>57</v>
      </c>
      <c r="B59">
        <v>80</v>
      </c>
      <c r="C59">
        <v>21</v>
      </c>
      <c r="D59">
        <v>68</v>
      </c>
      <c r="E59">
        <v>66</v>
      </c>
      <c r="F59">
        <v>2</v>
      </c>
      <c r="G59">
        <v>79</v>
      </c>
      <c r="H59">
        <v>81</v>
      </c>
      <c r="I59">
        <v>67</v>
      </c>
      <c r="J59">
        <v>74</v>
      </c>
      <c r="K59">
        <v>90</v>
      </c>
      <c r="L59">
        <v>36</v>
      </c>
      <c r="M59">
        <v>72</v>
      </c>
      <c r="N59">
        <v>52</v>
      </c>
      <c r="O59">
        <v>71</v>
      </c>
      <c r="P59">
        <v>18</v>
      </c>
      <c r="Q59">
        <v>69</v>
      </c>
      <c r="R59">
        <v>5</v>
      </c>
      <c r="S59">
        <v>65</v>
      </c>
      <c r="T59">
        <v>38</v>
      </c>
      <c r="U59">
        <v>78</v>
      </c>
      <c r="X59">
        <v>57</v>
      </c>
      <c r="Y59">
        <f t="shared" si="3"/>
        <v>3012</v>
      </c>
      <c r="Z59">
        <f t="shared" si="4"/>
        <v>3033</v>
      </c>
      <c r="AA59">
        <f t="shared" si="5"/>
        <v>3273</v>
      </c>
      <c r="AB59">
        <f t="shared" si="6"/>
        <v>3534</v>
      </c>
      <c r="AC59">
        <f t="shared" si="7"/>
        <v>3536</v>
      </c>
      <c r="AD59">
        <f t="shared" si="8"/>
        <v>3885</v>
      </c>
      <c r="AE59">
        <f t="shared" si="9"/>
        <v>4047</v>
      </c>
      <c r="AF59">
        <f t="shared" si="10"/>
        <v>4114</v>
      </c>
      <c r="AG59">
        <f t="shared" si="11"/>
        <v>4203</v>
      </c>
      <c r="AH59">
        <f t="shared" si="12"/>
        <v>4293</v>
      </c>
      <c r="AI59">
        <f t="shared" si="13"/>
        <v>4329</v>
      </c>
      <c r="AJ59">
        <f t="shared" si="14"/>
        <v>4464</v>
      </c>
      <c r="AK59">
        <f t="shared" si="15"/>
        <v>4516</v>
      </c>
      <c r="AL59">
        <f t="shared" si="16"/>
        <v>4587</v>
      </c>
      <c r="AM59">
        <f t="shared" si="17"/>
        <v>4676</v>
      </c>
      <c r="AN59">
        <f t="shared" si="18"/>
        <v>4804</v>
      </c>
      <c r="AO59">
        <f t="shared" si="19"/>
        <v>4840</v>
      </c>
      <c r="AP59">
        <f t="shared" si="20"/>
        <v>4995</v>
      </c>
      <c r="AQ59">
        <f t="shared" si="21"/>
        <v>5033</v>
      </c>
      <c r="AR59">
        <f t="shared" si="22"/>
        <v>5293</v>
      </c>
      <c r="AX59">
        <v>57</v>
      </c>
      <c r="AY59">
        <v>7728</v>
      </c>
      <c r="AZ59">
        <f t="shared" si="0"/>
        <v>252.82285196687371</v>
      </c>
      <c r="BA59">
        <f t="shared" si="1"/>
        <v>4.0437456701823563E-3</v>
      </c>
      <c r="BB59">
        <f t="shared" si="2"/>
        <v>0.22909766610320742</v>
      </c>
      <c r="BD59">
        <v>0.21016621999999999</v>
      </c>
      <c r="BE59">
        <v>169</v>
      </c>
      <c r="BF59">
        <v>7808</v>
      </c>
      <c r="BG59" s="5">
        <v>57</v>
      </c>
      <c r="BH59">
        <v>7728</v>
      </c>
      <c r="BI59" s="1">
        <v>0.54382765</v>
      </c>
      <c r="BJ59">
        <v>7728</v>
      </c>
      <c r="BK59" s="5">
        <v>117</v>
      </c>
      <c r="BL59">
        <v>7647</v>
      </c>
      <c r="BN59">
        <v>76</v>
      </c>
      <c r="BP59">
        <v>76</v>
      </c>
      <c r="BR59">
        <v>76</v>
      </c>
      <c r="BT59">
        <v>94</v>
      </c>
      <c r="BV59">
        <v>94</v>
      </c>
      <c r="BX59">
        <v>16</v>
      </c>
    </row>
    <row r="60" spans="1:76" x14ac:dyDescent="0.25">
      <c r="A60">
        <v>58</v>
      </c>
      <c r="B60">
        <v>88</v>
      </c>
      <c r="C60">
        <v>73</v>
      </c>
      <c r="D60">
        <v>43</v>
      </c>
      <c r="E60">
        <v>15</v>
      </c>
      <c r="F60">
        <v>39</v>
      </c>
      <c r="G60">
        <v>15</v>
      </c>
      <c r="H60">
        <v>2</v>
      </c>
      <c r="I60">
        <v>20</v>
      </c>
      <c r="J60">
        <v>51</v>
      </c>
      <c r="K60">
        <v>28</v>
      </c>
      <c r="L60">
        <v>3</v>
      </c>
      <c r="M60">
        <v>85</v>
      </c>
      <c r="N60">
        <v>37</v>
      </c>
      <c r="O60">
        <v>94</v>
      </c>
      <c r="P60">
        <v>24</v>
      </c>
      <c r="Q60">
        <v>32</v>
      </c>
      <c r="R60">
        <v>77</v>
      </c>
      <c r="S60">
        <v>18</v>
      </c>
      <c r="T60">
        <v>17</v>
      </c>
      <c r="U60">
        <v>81</v>
      </c>
      <c r="X60">
        <v>58</v>
      </c>
      <c r="Y60">
        <f t="shared" si="3"/>
        <v>3100</v>
      </c>
      <c r="Z60">
        <f t="shared" si="4"/>
        <v>3173</v>
      </c>
      <c r="AA60">
        <f t="shared" si="5"/>
        <v>3316</v>
      </c>
      <c r="AB60">
        <f t="shared" si="6"/>
        <v>3549</v>
      </c>
      <c r="AC60">
        <f t="shared" si="7"/>
        <v>3588</v>
      </c>
      <c r="AD60">
        <f t="shared" si="8"/>
        <v>3900</v>
      </c>
      <c r="AE60">
        <f t="shared" si="9"/>
        <v>4049</v>
      </c>
      <c r="AF60">
        <f t="shared" si="10"/>
        <v>4134</v>
      </c>
      <c r="AG60">
        <f t="shared" si="11"/>
        <v>4254</v>
      </c>
      <c r="AH60">
        <f t="shared" si="12"/>
        <v>4321</v>
      </c>
      <c r="AI60">
        <f t="shared" si="13"/>
        <v>4332</v>
      </c>
      <c r="AJ60">
        <f t="shared" si="14"/>
        <v>4549</v>
      </c>
      <c r="AK60">
        <f t="shared" si="15"/>
        <v>4586</v>
      </c>
      <c r="AL60">
        <f t="shared" si="16"/>
        <v>4681</v>
      </c>
      <c r="AM60">
        <f t="shared" si="17"/>
        <v>4705</v>
      </c>
      <c r="AN60">
        <f t="shared" si="18"/>
        <v>4836</v>
      </c>
      <c r="AO60">
        <f t="shared" si="19"/>
        <v>4917</v>
      </c>
      <c r="AP60">
        <f t="shared" si="20"/>
        <v>5013</v>
      </c>
      <c r="AQ60">
        <f t="shared" si="21"/>
        <v>5050</v>
      </c>
      <c r="AR60">
        <f t="shared" si="22"/>
        <v>5374</v>
      </c>
      <c r="AX60">
        <v>58</v>
      </c>
      <c r="AY60">
        <v>7695</v>
      </c>
      <c r="AZ60">
        <f t="shared" si="0"/>
        <v>253.90708252111762</v>
      </c>
      <c r="BA60">
        <f t="shared" si="1"/>
        <v>4.0610872695476608E-3</v>
      </c>
      <c r="BB60">
        <f t="shared" si="2"/>
        <v>0.23315875337275507</v>
      </c>
      <c r="BD60">
        <v>0.34775393999999998</v>
      </c>
      <c r="BE60">
        <v>233</v>
      </c>
      <c r="BF60">
        <v>7816</v>
      </c>
      <c r="BG60" s="5">
        <v>58</v>
      </c>
      <c r="BH60">
        <v>7695</v>
      </c>
      <c r="BI60" s="1">
        <v>0.21725303000000001</v>
      </c>
      <c r="BJ60">
        <v>7695</v>
      </c>
      <c r="BK60" s="5">
        <v>87</v>
      </c>
      <c r="BL60">
        <v>7647</v>
      </c>
      <c r="BN60">
        <v>70</v>
      </c>
      <c r="BP60">
        <v>70</v>
      </c>
      <c r="BR60">
        <v>70</v>
      </c>
      <c r="BT60">
        <v>86</v>
      </c>
      <c r="BV60">
        <v>86</v>
      </c>
      <c r="BX60">
        <v>100</v>
      </c>
    </row>
    <row r="61" spans="1:76" x14ac:dyDescent="0.25">
      <c r="A61">
        <v>59</v>
      </c>
      <c r="B61">
        <v>48</v>
      </c>
      <c r="C61">
        <v>27</v>
      </c>
      <c r="D61">
        <v>28</v>
      </c>
      <c r="E61">
        <v>47</v>
      </c>
      <c r="F61">
        <v>97</v>
      </c>
      <c r="G61">
        <v>64</v>
      </c>
      <c r="H61">
        <v>78</v>
      </c>
      <c r="I61">
        <v>37</v>
      </c>
      <c r="J61">
        <v>77</v>
      </c>
      <c r="K61">
        <v>36</v>
      </c>
      <c r="L61">
        <v>13</v>
      </c>
      <c r="M61">
        <v>89</v>
      </c>
      <c r="N61">
        <v>61</v>
      </c>
      <c r="O61">
        <v>59</v>
      </c>
      <c r="P61">
        <v>49</v>
      </c>
      <c r="Q61">
        <v>17</v>
      </c>
      <c r="R61">
        <v>91</v>
      </c>
      <c r="S61">
        <v>91</v>
      </c>
      <c r="T61">
        <v>50</v>
      </c>
      <c r="U61">
        <v>34</v>
      </c>
      <c r="X61">
        <v>59</v>
      </c>
      <c r="Y61">
        <f t="shared" si="3"/>
        <v>3148</v>
      </c>
      <c r="Z61">
        <f t="shared" si="4"/>
        <v>3200</v>
      </c>
      <c r="AA61">
        <f t="shared" si="5"/>
        <v>3344</v>
      </c>
      <c r="AB61">
        <f t="shared" si="6"/>
        <v>3596</v>
      </c>
      <c r="AC61">
        <f t="shared" si="7"/>
        <v>3693</v>
      </c>
      <c r="AD61">
        <f t="shared" si="8"/>
        <v>3964</v>
      </c>
      <c r="AE61">
        <f t="shared" si="9"/>
        <v>4127</v>
      </c>
      <c r="AF61">
        <f t="shared" si="10"/>
        <v>4171</v>
      </c>
      <c r="AG61">
        <f t="shared" si="11"/>
        <v>4331</v>
      </c>
      <c r="AH61">
        <f t="shared" si="12"/>
        <v>4367</v>
      </c>
      <c r="AI61">
        <f t="shared" si="13"/>
        <v>4380</v>
      </c>
      <c r="AJ61">
        <f t="shared" si="14"/>
        <v>4638</v>
      </c>
      <c r="AK61">
        <f t="shared" si="15"/>
        <v>4699</v>
      </c>
      <c r="AL61">
        <f t="shared" si="16"/>
        <v>4758</v>
      </c>
      <c r="AM61">
        <f t="shared" si="17"/>
        <v>4807</v>
      </c>
      <c r="AN61">
        <f t="shared" si="18"/>
        <v>4853</v>
      </c>
      <c r="AO61">
        <f t="shared" si="19"/>
        <v>5008</v>
      </c>
      <c r="AP61">
        <f t="shared" si="20"/>
        <v>5104</v>
      </c>
      <c r="AQ61">
        <f t="shared" si="21"/>
        <v>5154</v>
      </c>
      <c r="AR61">
        <f t="shared" si="22"/>
        <v>5408</v>
      </c>
      <c r="AX61">
        <v>59</v>
      </c>
      <c r="AY61">
        <v>7446</v>
      </c>
      <c r="AZ61">
        <f t="shared" si="0"/>
        <v>262.39793177544993</v>
      </c>
      <c r="BA61">
        <f t="shared" si="1"/>
        <v>4.1968931693754027E-3</v>
      </c>
      <c r="BB61">
        <f t="shared" si="2"/>
        <v>0.23735564654213048</v>
      </c>
      <c r="BD61">
        <v>0.21447073999999999</v>
      </c>
      <c r="BE61">
        <v>57</v>
      </c>
      <c r="BF61">
        <v>7408</v>
      </c>
      <c r="BG61" s="5">
        <v>59</v>
      </c>
      <c r="BH61">
        <v>7446</v>
      </c>
      <c r="BI61" s="1">
        <v>0.36952329</v>
      </c>
      <c r="BJ61">
        <v>7446</v>
      </c>
      <c r="BK61" s="5">
        <v>196</v>
      </c>
      <c r="BL61">
        <v>7648</v>
      </c>
      <c r="BN61">
        <v>55</v>
      </c>
      <c r="BP61">
        <v>55</v>
      </c>
      <c r="BR61">
        <v>55</v>
      </c>
      <c r="BT61">
        <v>4</v>
      </c>
      <c r="BV61">
        <v>4</v>
      </c>
      <c r="BX61">
        <v>50</v>
      </c>
    </row>
    <row r="62" spans="1:76" x14ac:dyDescent="0.25">
      <c r="A62">
        <v>60</v>
      </c>
      <c r="B62">
        <v>7</v>
      </c>
      <c r="C62">
        <v>91</v>
      </c>
      <c r="D62">
        <v>28</v>
      </c>
      <c r="E62">
        <v>8</v>
      </c>
      <c r="F62">
        <v>11</v>
      </c>
      <c r="G62">
        <v>63</v>
      </c>
      <c r="H62">
        <v>31</v>
      </c>
      <c r="I62">
        <v>63</v>
      </c>
      <c r="J62">
        <v>61</v>
      </c>
      <c r="K62">
        <v>13</v>
      </c>
      <c r="L62">
        <v>24</v>
      </c>
      <c r="M62">
        <v>94</v>
      </c>
      <c r="N62">
        <v>27</v>
      </c>
      <c r="O62">
        <v>51</v>
      </c>
      <c r="P62">
        <v>73</v>
      </c>
      <c r="Q62">
        <v>64</v>
      </c>
      <c r="R62">
        <v>77</v>
      </c>
      <c r="S62">
        <v>5</v>
      </c>
      <c r="T62">
        <v>97</v>
      </c>
      <c r="U62">
        <v>77</v>
      </c>
      <c r="X62">
        <v>60</v>
      </c>
      <c r="Y62">
        <f t="shared" si="3"/>
        <v>3155</v>
      </c>
      <c r="Z62">
        <f t="shared" si="4"/>
        <v>3291</v>
      </c>
      <c r="AA62">
        <f t="shared" si="5"/>
        <v>3372</v>
      </c>
      <c r="AB62">
        <f t="shared" si="6"/>
        <v>3604</v>
      </c>
      <c r="AC62">
        <f t="shared" si="7"/>
        <v>3704</v>
      </c>
      <c r="AD62">
        <f t="shared" si="8"/>
        <v>4027</v>
      </c>
      <c r="AE62">
        <f t="shared" si="9"/>
        <v>4158</v>
      </c>
      <c r="AF62">
        <f t="shared" si="10"/>
        <v>4234</v>
      </c>
      <c r="AG62">
        <f t="shared" si="11"/>
        <v>4392</v>
      </c>
      <c r="AH62">
        <f t="shared" si="12"/>
        <v>4405</v>
      </c>
      <c r="AI62">
        <f t="shared" si="13"/>
        <v>4429</v>
      </c>
      <c r="AJ62">
        <f t="shared" si="14"/>
        <v>4732</v>
      </c>
      <c r="AK62">
        <f t="shared" si="15"/>
        <v>4759</v>
      </c>
      <c r="AL62">
        <f t="shared" si="16"/>
        <v>4810</v>
      </c>
      <c r="AM62">
        <f t="shared" si="17"/>
        <v>4883</v>
      </c>
      <c r="AN62">
        <f t="shared" si="18"/>
        <v>4947</v>
      </c>
      <c r="AO62">
        <f t="shared" si="19"/>
        <v>5085</v>
      </c>
      <c r="AP62">
        <f t="shared" si="20"/>
        <v>5109</v>
      </c>
      <c r="AQ62">
        <f t="shared" si="21"/>
        <v>5251</v>
      </c>
      <c r="AR62">
        <f t="shared" si="22"/>
        <v>5485</v>
      </c>
      <c r="AX62">
        <v>60</v>
      </c>
      <c r="AY62">
        <v>7679</v>
      </c>
      <c r="AZ62">
        <f t="shared" si="0"/>
        <v>254.43612449537702</v>
      </c>
      <c r="BA62">
        <f t="shared" si="1"/>
        <v>4.0695489698097734E-3</v>
      </c>
      <c r="BB62">
        <f t="shared" si="2"/>
        <v>0.24142519551194025</v>
      </c>
      <c r="BD62">
        <v>0.96338040000000003</v>
      </c>
      <c r="BE62">
        <v>83</v>
      </c>
      <c r="BF62">
        <v>7584</v>
      </c>
      <c r="BG62" s="5">
        <v>60</v>
      </c>
      <c r="BH62">
        <v>7679</v>
      </c>
      <c r="BI62" s="1">
        <v>8.2573350000000004E-2</v>
      </c>
      <c r="BJ62">
        <v>7679</v>
      </c>
      <c r="BK62" s="5">
        <v>60</v>
      </c>
      <c r="BL62">
        <v>7654</v>
      </c>
      <c r="BN62">
        <v>1</v>
      </c>
      <c r="BP62">
        <v>1</v>
      </c>
      <c r="BR62">
        <v>1</v>
      </c>
      <c r="BT62">
        <v>11</v>
      </c>
      <c r="BV62">
        <v>11</v>
      </c>
      <c r="BX62">
        <v>13</v>
      </c>
    </row>
    <row r="63" spans="1:76" x14ac:dyDescent="0.25">
      <c r="A63">
        <v>61</v>
      </c>
      <c r="B63">
        <v>96</v>
      </c>
      <c r="C63">
        <v>8</v>
      </c>
      <c r="D63">
        <v>62</v>
      </c>
      <c r="E63">
        <v>50</v>
      </c>
      <c r="F63">
        <v>28</v>
      </c>
      <c r="G63">
        <v>83</v>
      </c>
      <c r="H63">
        <v>60</v>
      </c>
      <c r="I63">
        <v>63</v>
      </c>
      <c r="J63">
        <v>53</v>
      </c>
      <c r="K63">
        <v>85</v>
      </c>
      <c r="L63">
        <v>34</v>
      </c>
      <c r="M63">
        <v>31</v>
      </c>
      <c r="N63">
        <v>28</v>
      </c>
      <c r="O63">
        <v>6</v>
      </c>
      <c r="P63">
        <v>79</v>
      </c>
      <c r="Q63">
        <v>64</v>
      </c>
      <c r="R63">
        <v>53</v>
      </c>
      <c r="S63">
        <v>72</v>
      </c>
      <c r="T63">
        <v>76</v>
      </c>
      <c r="U63">
        <v>77</v>
      </c>
      <c r="X63">
        <v>61</v>
      </c>
      <c r="Y63">
        <f t="shared" si="3"/>
        <v>3251</v>
      </c>
      <c r="Z63">
        <f t="shared" si="4"/>
        <v>3299</v>
      </c>
      <c r="AA63">
        <f t="shared" si="5"/>
        <v>3434</v>
      </c>
      <c r="AB63">
        <f t="shared" si="6"/>
        <v>3654</v>
      </c>
      <c r="AC63">
        <f t="shared" si="7"/>
        <v>3732</v>
      </c>
      <c r="AD63">
        <f t="shared" si="8"/>
        <v>4110</v>
      </c>
      <c r="AE63">
        <f t="shared" si="9"/>
        <v>4218</v>
      </c>
      <c r="AF63">
        <f t="shared" si="10"/>
        <v>4297</v>
      </c>
      <c r="AG63">
        <f t="shared" si="11"/>
        <v>4445</v>
      </c>
      <c r="AH63">
        <f t="shared" si="12"/>
        <v>4530</v>
      </c>
      <c r="AI63">
        <f t="shared" si="13"/>
        <v>4564</v>
      </c>
      <c r="AJ63">
        <f t="shared" si="14"/>
        <v>4763</v>
      </c>
      <c r="AK63">
        <f t="shared" si="15"/>
        <v>4791</v>
      </c>
      <c r="AL63">
        <f t="shared" si="16"/>
        <v>4816</v>
      </c>
      <c r="AM63">
        <f t="shared" si="17"/>
        <v>4962</v>
      </c>
      <c r="AN63">
        <f t="shared" si="18"/>
        <v>5026</v>
      </c>
      <c r="AO63">
        <f t="shared" si="19"/>
        <v>5138</v>
      </c>
      <c r="AP63">
        <f t="shared" si="20"/>
        <v>5210</v>
      </c>
      <c r="AQ63">
        <f t="shared" si="21"/>
        <v>5327</v>
      </c>
      <c r="AR63">
        <f t="shared" si="22"/>
        <v>5562</v>
      </c>
      <c r="AX63">
        <v>61</v>
      </c>
      <c r="AY63">
        <v>7780</v>
      </c>
      <c r="AZ63">
        <f t="shared" si="0"/>
        <v>251.13303341902315</v>
      </c>
      <c r="BA63">
        <f t="shared" si="1"/>
        <v>4.0167180641605717E-3</v>
      </c>
      <c r="BB63">
        <f t="shared" si="2"/>
        <v>0.24544191357610082</v>
      </c>
      <c r="BD63">
        <v>0.10697126</v>
      </c>
      <c r="BE63">
        <v>68</v>
      </c>
      <c r="BF63">
        <v>7748</v>
      </c>
      <c r="BG63" s="5">
        <v>61</v>
      </c>
      <c r="BH63">
        <v>7780</v>
      </c>
      <c r="BI63" s="1">
        <v>0.37134063</v>
      </c>
      <c r="BJ63">
        <v>7780</v>
      </c>
      <c r="BK63" s="5">
        <v>197</v>
      </c>
      <c r="BL63">
        <v>7655</v>
      </c>
      <c r="BN63">
        <v>3</v>
      </c>
      <c r="BP63">
        <v>3</v>
      </c>
      <c r="BR63">
        <v>3</v>
      </c>
      <c r="BT63">
        <v>35</v>
      </c>
      <c r="BV63">
        <v>35</v>
      </c>
      <c r="BX63">
        <v>18</v>
      </c>
    </row>
    <row r="64" spans="1:76" x14ac:dyDescent="0.25">
      <c r="A64">
        <v>62</v>
      </c>
      <c r="B64">
        <v>33</v>
      </c>
      <c r="C64">
        <v>47</v>
      </c>
      <c r="D64">
        <v>56</v>
      </c>
      <c r="E64">
        <v>47</v>
      </c>
      <c r="F64">
        <v>27</v>
      </c>
      <c r="G64">
        <v>45</v>
      </c>
      <c r="H64">
        <v>44</v>
      </c>
      <c r="I64">
        <v>94</v>
      </c>
      <c r="J64">
        <v>29</v>
      </c>
      <c r="K64">
        <v>82</v>
      </c>
      <c r="L64">
        <v>34</v>
      </c>
      <c r="M64">
        <v>86</v>
      </c>
      <c r="N64">
        <v>24</v>
      </c>
      <c r="O64">
        <v>79</v>
      </c>
      <c r="P64">
        <v>81</v>
      </c>
      <c r="Q64">
        <v>40</v>
      </c>
      <c r="R64">
        <v>74</v>
      </c>
      <c r="S64">
        <v>25</v>
      </c>
      <c r="T64">
        <v>41</v>
      </c>
      <c r="U64">
        <v>56</v>
      </c>
      <c r="X64">
        <v>62</v>
      </c>
      <c r="Y64">
        <f t="shared" si="3"/>
        <v>3284</v>
      </c>
      <c r="Z64">
        <f t="shared" si="4"/>
        <v>3346</v>
      </c>
      <c r="AA64">
        <f t="shared" si="5"/>
        <v>3490</v>
      </c>
      <c r="AB64">
        <f t="shared" si="6"/>
        <v>3701</v>
      </c>
      <c r="AC64">
        <f t="shared" si="7"/>
        <v>3759</v>
      </c>
      <c r="AD64">
        <f t="shared" si="8"/>
        <v>4155</v>
      </c>
      <c r="AE64">
        <f t="shared" si="9"/>
        <v>4262</v>
      </c>
      <c r="AF64">
        <f t="shared" si="10"/>
        <v>4391</v>
      </c>
      <c r="AG64">
        <f t="shared" si="11"/>
        <v>4474</v>
      </c>
      <c r="AH64">
        <f t="shared" si="12"/>
        <v>4612</v>
      </c>
      <c r="AI64">
        <f t="shared" si="13"/>
        <v>4646</v>
      </c>
      <c r="AJ64">
        <f t="shared" si="14"/>
        <v>4849</v>
      </c>
      <c r="AK64">
        <f t="shared" si="15"/>
        <v>4873</v>
      </c>
      <c r="AL64">
        <f t="shared" si="16"/>
        <v>4952</v>
      </c>
      <c r="AM64">
        <f t="shared" si="17"/>
        <v>5043</v>
      </c>
      <c r="AN64">
        <f t="shared" si="18"/>
        <v>5083</v>
      </c>
      <c r="AO64">
        <f t="shared" si="19"/>
        <v>5212</v>
      </c>
      <c r="AP64">
        <f t="shared" si="20"/>
        <v>5237</v>
      </c>
      <c r="AQ64">
        <f t="shared" si="21"/>
        <v>5368</v>
      </c>
      <c r="AR64">
        <f t="shared" si="22"/>
        <v>5618</v>
      </c>
      <c r="AX64">
        <v>62</v>
      </c>
      <c r="AY64">
        <v>7815</v>
      </c>
      <c r="AZ64">
        <f t="shared" si="0"/>
        <v>250.00831733845169</v>
      </c>
      <c r="BA64">
        <f t="shared" si="1"/>
        <v>3.9987289237580614E-3</v>
      </c>
      <c r="BB64">
        <f t="shared" si="2"/>
        <v>0.24944064249985887</v>
      </c>
      <c r="BD64">
        <v>0.19273919</v>
      </c>
      <c r="BE64">
        <v>40</v>
      </c>
      <c r="BF64">
        <v>7692</v>
      </c>
      <c r="BG64" s="5">
        <v>62</v>
      </c>
      <c r="BH64">
        <v>7815</v>
      </c>
      <c r="BI64" s="1">
        <v>0.40878636000000002</v>
      </c>
      <c r="BJ64">
        <v>7815</v>
      </c>
      <c r="BK64" s="5">
        <v>157</v>
      </c>
      <c r="BL64">
        <v>7656</v>
      </c>
      <c r="BN64">
        <v>71</v>
      </c>
      <c r="BP64">
        <v>71</v>
      </c>
      <c r="BR64">
        <v>71</v>
      </c>
      <c r="BT64">
        <v>25</v>
      </c>
      <c r="BV64">
        <v>25</v>
      </c>
      <c r="BX64">
        <v>25</v>
      </c>
    </row>
    <row r="65" spans="1:76" x14ac:dyDescent="0.25">
      <c r="A65">
        <v>63</v>
      </c>
      <c r="B65">
        <v>8</v>
      </c>
      <c r="C65">
        <v>65</v>
      </c>
      <c r="D65">
        <v>79</v>
      </c>
      <c r="E65">
        <v>4</v>
      </c>
      <c r="F65">
        <v>19</v>
      </c>
      <c r="G65">
        <v>14</v>
      </c>
      <c r="H65">
        <v>51</v>
      </c>
      <c r="I65">
        <v>97</v>
      </c>
      <c r="J65">
        <v>97</v>
      </c>
      <c r="K65">
        <v>57</v>
      </c>
      <c r="L65">
        <v>22</v>
      </c>
      <c r="M65">
        <v>1</v>
      </c>
      <c r="N65">
        <v>35</v>
      </c>
      <c r="O65">
        <v>30</v>
      </c>
      <c r="P65">
        <v>92</v>
      </c>
      <c r="Q65">
        <v>31</v>
      </c>
      <c r="R65">
        <v>68</v>
      </c>
      <c r="S65">
        <v>3</v>
      </c>
      <c r="T65">
        <v>98</v>
      </c>
      <c r="U65">
        <v>47</v>
      </c>
      <c r="X65">
        <v>63</v>
      </c>
      <c r="Y65">
        <f t="shared" si="3"/>
        <v>3292</v>
      </c>
      <c r="Z65">
        <f t="shared" si="4"/>
        <v>3411</v>
      </c>
      <c r="AA65">
        <f t="shared" si="5"/>
        <v>3569</v>
      </c>
      <c r="AB65">
        <f t="shared" si="6"/>
        <v>3705</v>
      </c>
      <c r="AC65">
        <f t="shared" si="7"/>
        <v>3778</v>
      </c>
      <c r="AD65">
        <f t="shared" si="8"/>
        <v>4169</v>
      </c>
      <c r="AE65">
        <f t="shared" si="9"/>
        <v>4313</v>
      </c>
      <c r="AF65">
        <f t="shared" si="10"/>
        <v>4488</v>
      </c>
      <c r="AG65">
        <f t="shared" si="11"/>
        <v>4585</v>
      </c>
      <c r="AH65">
        <f t="shared" si="12"/>
        <v>4669</v>
      </c>
      <c r="AI65">
        <f t="shared" si="13"/>
        <v>4691</v>
      </c>
      <c r="AJ65">
        <f t="shared" si="14"/>
        <v>4850</v>
      </c>
      <c r="AK65">
        <f t="shared" si="15"/>
        <v>4908</v>
      </c>
      <c r="AL65">
        <f t="shared" si="16"/>
        <v>4982</v>
      </c>
      <c r="AM65">
        <f t="shared" si="17"/>
        <v>5135</v>
      </c>
      <c r="AN65">
        <f t="shared" si="18"/>
        <v>5166</v>
      </c>
      <c r="AO65">
        <f t="shared" si="19"/>
        <v>5280</v>
      </c>
      <c r="AP65">
        <f t="shared" si="20"/>
        <v>5283</v>
      </c>
      <c r="AQ65">
        <f t="shared" si="21"/>
        <v>5466</v>
      </c>
      <c r="AR65">
        <f t="shared" si="22"/>
        <v>5665</v>
      </c>
      <c r="AX65">
        <v>63</v>
      </c>
      <c r="AY65">
        <v>7694</v>
      </c>
      <c r="AZ65">
        <f t="shared" si="0"/>
        <v>253.94008318170003</v>
      </c>
      <c r="BA65">
        <f t="shared" si="1"/>
        <v>4.0616150947711529E-3</v>
      </c>
      <c r="BB65">
        <f t="shared" si="2"/>
        <v>0.25350225759463002</v>
      </c>
      <c r="BD65">
        <v>0.32331383000000002</v>
      </c>
      <c r="BE65">
        <v>142</v>
      </c>
      <c r="BF65">
        <v>7523</v>
      </c>
      <c r="BG65" s="5">
        <v>63</v>
      </c>
      <c r="BH65">
        <v>7680</v>
      </c>
      <c r="BI65" s="2">
        <v>2.2706509999999999E-2</v>
      </c>
      <c r="BJ65">
        <v>7694</v>
      </c>
      <c r="BK65" s="5">
        <v>31</v>
      </c>
      <c r="BL65">
        <v>7659</v>
      </c>
      <c r="BN65">
        <v>77</v>
      </c>
      <c r="BP65">
        <v>77</v>
      </c>
      <c r="BR65">
        <v>77</v>
      </c>
      <c r="BT65">
        <v>59</v>
      </c>
      <c r="BV65">
        <v>59</v>
      </c>
      <c r="BX65">
        <v>14</v>
      </c>
    </row>
    <row r="66" spans="1:76" x14ac:dyDescent="0.25">
      <c r="A66">
        <v>64</v>
      </c>
      <c r="B66">
        <v>40</v>
      </c>
      <c r="C66">
        <v>36</v>
      </c>
      <c r="D66">
        <v>15</v>
      </c>
      <c r="E66">
        <v>74</v>
      </c>
      <c r="F66">
        <v>6</v>
      </c>
      <c r="G66">
        <v>71</v>
      </c>
      <c r="H66">
        <v>99</v>
      </c>
      <c r="I66">
        <v>74</v>
      </c>
      <c r="J66">
        <v>28</v>
      </c>
      <c r="K66">
        <v>1</v>
      </c>
      <c r="L66">
        <v>17</v>
      </c>
      <c r="M66">
        <v>40</v>
      </c>
      <c r="N66">
        <v>26</v>
      </c>
      <c r="O66">
        <v>61</v>
      </c>
      <c r="P66">
        <v>57</v>
      </c>
      <c r="Q66">
        <v>59</v>
      </c>
      <c r="R66">
        <v>39</v>
      </c>
      <c r="S66">
        <v>15</v>
      </c>
      <c r="T66">
        <v>94</v>
      </c>
      <c r="U66">
        <v>3</v>
      </c>
      <c r="X66">
        <v>64</v>
      </c>
      <c r="Y66">
        <f t="shared" si="3"/>
        <v>3332</v>
      </c>
      <c r="Z66">
        <f t="shared" si="4"/>
        <v>3447</v>
      </c>
      <c r="AA66">
        <f t="shared" si="5"/>
        <v>3584</v>
      </c>
      <c r="AB66">
        <f t="shared" si="6"/>
        <v>3779</v>
      </c>
      <c r="AC66">
        <f t="shared" si="7"/>
        <v>3785</v>
      </c>
      <c r="AD66">
        <f t="shared" si="8"/>
        <v>4240</v>
      </c>
      <c r="AE66">
        <f t="shared" si="9"/>
        <v>4412</v>
      </c>
      <c r="AF66">
        <f t="shared" si="10"/>
        <v>4562</v>
      </c>
      <c r="AG66">
        <f t="shared" si="11"/>
        <v>4613</v>
      </c>
      <c r="AH66">
        <f t="shared" si="12"/>
        <v>4670</v>
      </c>
      <c r="AI66">
        <f t="shared" si="13"/>
        <v>4708</v>
      </c>
      <c r="AJ66">
        <f t="shared" si="14"/>
        <v>4890</v>
      </c>
      <c r="AK66">
        <f t="shared" si="15"/>
        <v>4934</v>
      </c>
      <c r="AL66">
        <f t="shared" si="16"/>
        <v>5043</v>
      </c>
      <c r="AM66">
        <f t="shared" si="17"/>
        <v>5192</v>
      </c>
      <c r="AN66">
        <f t="shared" si="18"/>
        <v>5251</v>
      </c>
      <c r="AO66">
        <f t="shared" si="19"/>
        <v>5319</v>
      </c>
      <c r="AP66">
        <f t="shared" si="20"/>
        <v>5334</v>
      </c>
      <c r="AQ66">
        <f t="shared" si="21"/>
        <v>5560</v>
      </c>
      <c r="AR66">
        <f t="shared" si="22"/>
        <v>5668</v>
      </c>
      <c r="AX66">
        <v>64</v>
      </c>
      <c r="AY66">
        <v>7591</v>
      </c>
      <c r="AZ66">
        <f t="shared" si="0"/>
        <v>257.38571993149782</v>
      </c>
      <c r="BA66">
        <f t="shared" si="1"/>
        <v>4.116725930597977E-3</v>
      </c>
      <c r="BB66">
        <f t="shared" si="2"/>
        <v>0.257618983525228</v>
      </c>
      <c r="BD66">
        <v>0.95545464999999996</v>
      </c>
      <c r="BE66">
        <v>98</v>
      </c>
      <c r="BF66">
        <v>7692</v>
      </c>
      <c r="BG66" s="5">
        <v>64</v>
      </c>
      <c r="BH66">
        <v>7591</v>
      </c>
      <c r="BI66" s="1">
        <v>0.82239991000000001</v>
      </c>
      <c r="BJ66">
        <v>7591</v>
      </c>
      <c r="BK66" s="5">
        <v>227</v>
      </c>
      <c r="BL66">
        <v>7659</v>
      </c>
      <c r="BN66">
        <v>45</v>
      </c>
      <c r="BP66">
        <v>45</v>
      </c>
      <c r="BR66">
        <v>45</v>
      </c>
      <c r="BT66">
        <v>72</v>
      </c>
      <c r="BV66">
        <v>72</v>
      </c>
      <c r="BX66">
        <v>93</v>
      </c>
    </row>
    <row r="67" spans="1:76" x14ac:dyDescent="0.25">
      <c r="A67">
        <v>65</v>
      </c>
      <c r="B67">
        <v>4</v>
      </c>
      <c r="C67">
        <v>87</v>
      </c>
      <c r="D67">
        <v>53</v>
      </c>
      <c r="E67">
        <v>4</v>
      </c>
      <c r="F67">
        <v>50</v>
      </c>
      <c r="G67">
        <v>89</v>
      </c>
      <c r="H67">
        <v>70</v>
      </c>
      <c r="I67">
        <v>23</v>
      </c>
      <c r="J67">
        <v>84</v>
      </c>
      <c r="K67">
        <v>72</v>
      </c>
      <c r="L67">
        <v>14</v>
      </c>
      <c r="M67">
        <v>21</v>
      </c>
      <c r="N67">
        <v>32</v>
      </c>
      <c r="O67">
        <v>83</v>
      </c>
      <c r="P67">
        <v>39</v>
      </c>
      <c r="Q67">
        <v>82</v>
      </c>
      <c r="R67">
        <v>95</v>
      </c>
      <c r="S67">
        <v>62</v>
      </c>
      <c r="T67">
        <v>77</v>
      </c>
      <c r="U67">
        <v>65</v>
      </c>
      <c r="X67">
        <v>65</v>
      </c>
      <c r="Y67">
        <f t="shared" si="3"/>
        <v>3336</v>
      </c>
      <c r="Z67">
        <f t="shared" si="4"/>
        <v>3534</v>
      </c>
      <c r="AA67">
        <f t="shared" si="5"/>
        <v>3637</v>
      </c>
      <c r="AB67">
        <f t="shared" si="6"/>
        <v>3783</v>
      </c>
      <c r="AC67">
        <f t="shared" si="7"/>
        <v>3835</v>
      </c>
      <c r="AD67">
        <f t="shared" si="8"/>
        <v>4329</v>
      </c>
      <c r="AE67">
        <f t="shared" si="9"/>
        <v>4482</v>
      </c>
      <c r="AF67">
        <f t="shared" si="10"/>
        <v>4585</v>
      </c>
      <c r="AG67">
        <f t="shared" si="11"/>
        <v>4697</v>
      </c>
      <c r="AH67">
        <f t="shared" si="12"/>
        <v>4769</v>
      </c>
      <c r="AI67">
        <f t="shared" si="13"/>
        <v>4783</v>
      </c>
      <c r="AJ67">
        <f t="shared" si="14"/>
        <v>4911</v>
      </c>
      <c r="AK67">
        <f t="shared" si="15"/>
        <v>4966</v>
      </c>
      <c r="AL67">
        <f t="shared" si="16"/>
        <v>5126</v>
      </c>
      <c r="AM67">
        <f t="shared" si="17"/>
        <v>5231</v>
      </c>
      <c r="AN67">
        <f t="shared" si="18"/>
        <v>5333</v>
      </c>
      <c r="AO67">
        <f t="shared" si="19"/>
        <v>5428</v>
      </c>
      <c r="AP67">
        <f t="shared" si="20"/>
        <v>5490</v>
      </c>
      <c r="AQ67">
        <f t="shared" si="21"/>
        <v>5637</v>
      </c>
      <c r="AR67">
        <f t="shared" si="22"/>
        <v>5733</v>
      </c>
      <c r="AX67">
        <v>65</v>
      </c>
      <c r="AY67">
        <v>7778</v>
      </c>
      <c r="AZ67">
        <f t="shared" si="0"/>
        <v>251.19760863975316</v>
      </c>
      <c r="BA67">
        <f t="shared" si="1"/>
        <v>4.0177509050101888E-3</v>
      </c>
      <c r="BB67">
        <f t="shared" si="2"/>
        <v>0.26163673443023816</v>
      </c>
      <c r="BD67">
        <v>0.42493796</v>
      </c>
      <c r="BE67">
        <v>158</v>
      </c>
      <c r="BF67">
        <v>7851</v>
      </c>
      <c r="BG67" s="5">
        <v>65</v>
      </c>
      <c r="BH67">
        <v>7778</v>
      </c>
      <c r="BI67" s="1">
        <v>0.23230529</v>
      </c>
      <c r="BJ67">
        <v>7778</v>
      </c>
      <c r="BK67" s="5">
        <v>165</v>
      </c>
      <c r="BL67">
        <v>7660</v>
      </c>
      <c r="BN67">
        <v>19</v>
      </c>
      <c r="BP67">
        <v>19</v>
      </c>
      <c r="BR67">
        <v>19</v>
      </c>
      <c r="BT67">
        <v>63</v>
      </c>
      <c r="BV67">
        <v>63</v>
      </c>
      <c r="BX67">
        <v>45</v>
      </c>
    </row>
    <row r="68" spans="1:76" x14ac:dyDescent="0.25">
      <c r="A68">
        <v>66</v>
      </c>
      <c r="B68">
        <v>55</v>
      </c>
      <c r="C68">
        <v>5</v>
      </c>
      <c r="D68">
        <v>70</v>
      </c>
      <c r="E68">
        <v>11</v>
      </c>
      <c r="F68">
        <v>3</v>
      </c>
      <c r="G68">
        <v>56</v>
      </c>
      <c r="H68">
        <v>3</v>
      </c>
      <c r="I68">
        <v>34</v>
      </c>
      <c r="J68">
        <v>87</v>
      </c>
      <c r="K68">
        <v>7</v>
      </c>
      <c r="L68">
        <v>17</v>
      </c>
      <c r="M68">
        <v>10</v>
      </c>
      <c r="N68">
        <v>48</v>
      </c>
      <c r="O68">
        <v>89</v>
      </c>
      <c r="P68">
        <v>15</v>
      </c>
      <c r="Q68">
        <v>6</v>
      </c>
      <c r="R68">
        <v>32</v>
      </c>
      <c r="S68">
        <v>35</v>
      </c>
      <c r="T68">
        <v>9</v>
      </c>
      <c r="U68">
        <v>17</v>
      </c>
      <c r="X68">
        <v>66</v>
      </c>
      <c r="Y68">
        <f t="shared" si="3"/>
        <v>3391</v>
      </c>
      <c r="Z68">
        <f t="shared" si="4"/>
        <v>3539</v>
      </c>
      <c r="AA68">
        <f t="shared" si="5"/>
        <v>3707</v>
      </c>
      <c r="AB68">
        <f t="shared" si="6"/>
        <v>3794</v>
      </c>
      <c r="AC68">
        <f t="shared" si="7"/>
        <v>3838</v>
      </c>
      <c r="AD68">
        <f t="shared" si="8"/>
        <v>4385</v>
      </c>
      <c r="AE68">
        <f t="shared" si="9"/>
        <v>4485</v>
      </c>
      <c r="AF68">
        <f t="shared" si="10"/>
        <v>4619</v>
      </c>
      <c r="AG68">
        <f t="shared" si="11"/>
        <v>4784</v>
      </c>
      <c r="AH68">
        <f t="shared" si="12"/>
        <v>4791</v>
      </c>
      <c r="AI68">
        <f t="shared" si="13"/>
        <v>4808</v>
      </c>
      <c r="AJ68">
        <f t="shared" si="14"/>
        <v>4921</v>
      </c>
      <c r="AK68">
        <f t="shared" si="15"/>
        <v>5014</v>
      </c>
      <c r="AL68">
        <f t="shared" si="16"/>
        <v>5215</v>
      </c>
      <c r="AM68">
        <f t="shared" si="17"/>
        <v>5246</v>
      </c>
      <c r="AN68">
        <f t="shared" si="18"/>
        <v>5339</v>
      </c>
      <c r="AO68">
        <f t="shared" si="19"/>
        <v>5460</v>
      </c>
      <c r="AP68">
        <f t="shared" si="20"/>
        <v>5525</v>
      </c>
      <c r="AQ68">
        <f t="shared" si="21"/>
        <v>5646</v>
      </c>
      <c r="AR68">
        <f t="shared" si="22"/>
        <v>5750</v>
      </c>
      <c r="AX68">
        <v>66</v>
      </c>
      <c r="AY68">
        <v>7664</v>
      </c>
      <c r="AZ68">
        <f t="shared" ref="AZ68:AZ131" si="23">$AY$254/AY68</f>
        <v>254.93410751565762</v>
      </c>
      <c r="BA68">
        <f t="shared" ref="BA68:BA131" si="24">AZ68/$AZ$254</f>
        <v>4.0775139012485971E-3</v>
      </c>
      <c r="BB68">
        <f t="shared" ref="BB68:BB102" si="25">BB67+BA68</f>
        <v>0.26571424833148677</v>
      </c>
      <c r="BD68">
        <v>0.60627072999999998</v>
      </c>
      <c r="BE68">
        <v>235</v>
      </c>
      <c r="BF68">
        <v>7566</v>
      </c>
      <c r="BG68" s="5">
        <v>66</v>
      </c>
      <c r="BH68">
        <v>7664</v>
      </c>
      <c r="BI68" s="1">
        <v>0.95955937999999996</v>
      </c>
      <c r="BJ68">
        <v>7664</v>
      </c>
      <c r="BK68" s="5">
        <v>249</v>
      </c>
      <c r="BL68">
        <v>7661</v>
      </c>
      <c r="BN68">
        <v>65</v>
      </c>
      <c r="BP68">
        <v>65</v>
      </c>
      <c r="BR68">
        <v>65</v>
      </c>
      <c r="BT68">
        <v>20</v>
      </c>
      <c r="BV68">
        <v>20</v>
      </c>
      <c r="BX68">
        <v>12</v>
      </c>
    </row>
    <row r="69" spans="1:76" x14ac:dyDescent="0.25">
      <c r="A69">
        <v>67</v>
      </c>
      <c r="B69">
        <v>43</v>
      </c>
      <c r="C69">
        <v>91</v>
      </c>
      <c r="D69">
        <v>90</v>
      </c>
      <c r="E69">
        <v>69</v>
      </c>
      <c r="F69">
        <v>61</v>
      </c>
      <c r="G69">
        <v>55</v>
      </c>
      <c r="H69">
        <v>44</v>
      </c>
      <c r="I69">
        <v>8</v>
      </c>
      <c r="J69">
        <v>31</v>
      </c>
      <c r="K69">
        <v>25</v>
      </c>
      <c r="L69">
        <v>60</v>
      </c>
      <c r="M69">
        <v>72</v>
      </c>
      <c r="N69">
        <v>16</v>
      </c>
      <c r="O69">
        <v>96</v>
      </c>
      <c r="P69">
        <v>56</v>
      </c>
      <c r="Q69">
        <v>26</v>
      </c>
      <c r="R69">
        <v>57</v>
      </c>
      <c r="S69">
        <v>7</v>
      </c>
      <c r="T69">
        <v>81</v>
      </c>
      <c r="U69">
        <v>21</v>
      </c>
      <c r="X69">
        <v>67</v>
      </c>
      <c r="Y69">
        <f t="shared" ref="Y69:Y102" si="26">Y68+VLOOKUP($X69,$A$3:$U$102,2,FALSE)</f>
        <v>3434</v>
      </c>
      <c r="Z69">
        <f t="shared" ref="Z69:Z102" si="27">MAX(Y69,Z68)+VLOOKUP($X69,$A$3:$U$102,3, FALSE)</f>
        <v>3630</v>
      </c>
      <c r="AA69">
        <f t="shared" ref="AA69:AA102" si="28">MAX(Z69,AA68)+VLOOKUP($X69,$A$3:$U$102,4, FALSE)</f>
        <v>3797</v>
      </c>
      <c r="AB69">
        <f t="shared" ref="AB69:AB102" si="29">MAX(AA69,AB68)+VLOOKUP($X69,$A$3:$U$102,5, FALSE)</f>
        <v>3866</v>
      </c>
      <c r="AC69">
        <f t="shared" ref="AC69:AC102" si="30">MAX(AB69,AC68)+VLOOKUP($X69,$A$3:$U$102,6, FALSE)</f>
        <v>3927</v>
      </c>
      <c r="AD69">
        <f t="shared" ref="AD69:AD102" si="31">MAX(AC69,AD68)+VLOOKUP($X69,$A$3:$U$102,7, FALSE)</f>
        <v>4440</v>
      </c>
      <c r="AE69">
        <f t="shared" ref="AE69:AE102" si="32">MAX(AD69,AE68)+VLOOKUP($X69,$A$3:$U$102,8, FALSE)</f>
        <v>4529</v>
      </c>
      <c r="AF69">
        <f t="shared" ref="AF69:AF102" si="33">MAX(AE69,AF68)+VLOOKUP($X69,$A$3:$U$102,9, FALSE)</f>
        <v>4627</v>
      </c>
      <c r="AG69">
        <f t="shared" ref="AG69:AG102" si="34">MAX(AF69,AG68)+VLOOKUP($X69,$A$3:$U$102,10, FALSE)</f>
        <v>4815</v>
      </c>
      <c r="AH69">
        <f t="shared" ref="AH69:AH102" si="35">MAX(AG69,AH68)+VLOOKUP($X69,$A$3:$U$102,11, FALSE)</f>
        <v>4840</v>
      </c>
      <c r="AI69">
        <f t="shared" ref="AI69:AI102" si="36">MAX(AH69,AI68)+VLOOKUP($X69,$A$3:$U$102,12, FALSE)</f>
        <v>4900</v>
      </c>
      <c r="AJ69">
        <f t="shared" ref="AJ69:AJ102" si="37">MAX(AI69,AJ68)+VLOOKUP($X69,$A$3:$U$102,13, FALSE)</f>
        <v>4993</v>
      </c>
      <c r="AK69">
        <f t="shared" ref="AK69:AK102" si="38">MAX(AJ69,AK68)+VLOOKUP($X69,$A$3:$U$102,14, FALSE)</f>
        <v>5030</v>
      </c>
      <c r="AL69">
        <f t="shared" ref="AL69:AL102" si="39">MAX(AK69,AL68)+VLOOKUP($X69,$A$3:$U$102,15, FALSE)</f>
        <v>5311</v>
      </c>
      <c r="AM69">
        <f t="shared" ref="AM69:AM102" si="40">MAX(AL69,AM68)+VLOOKUP($X69,$A$3:$U$102,16, FALSE)</f>
        <v>5367</v>
      </c>
      <c r="AN69">
        <f t="shared" ref="AN69:AN102" si="41">MAX(AM69,AN68)+VLOOKUP($X69,$A$3:$U$102,17, FALSE)</f>
        <v>5393</v>
      </c>
      <c r="AO69">
        <f t="shared" ref="AO69:AO102" si="42">MAX(AN69,AO68)+VLOOKUP($X69,$A$3:$U$102,18, FALSE)</f>
        <v>5517</v>
      </c>
      <c r="AP69">
        <f t="shared" ref="AP69:AP102" si="43">MAX(AO69,AP68)+VLOOKUP($X69,$A$3:$U$102,19, FALSE)</f>
        <v>5532</v>
      </c>
      <c r="AQ69">
        <f t="shared" ref="AQ69:AQ102" si="44">MAX(AP69,AQ68)+VLOOKUP($X69,$A$3:$U$102,20, FALSE)</f>
        <v>5727</v>
      </c>
      <c r="AR69">
        <f t="shared" ref="AR69:AR101" si="45">MAX(AQ69,AR68)+VLOOKUP($X69,$A$3:$U$102,21, FALSE)</f>
        <v>5771</v>
      </c>
      <c r="AX69">
        <v>67</v>
      </c>
      <c r="AY69">
        <v>7830</v>
      </c>
      <c r="AZ69">
        <f t="shared" si="23"/>
        <v>249.52937420178799</v>
      </c>
      <c r="BA69">
        <f t="shared" si="24"/>
        <v>3.991068523520977E-3</v>
      </c>
      <c r="BB69">
        <f t="shared" si="25"/>
        <v>0.26970531685500776</v>
      </c>
      <c r="BD69">
        <v>0.23042428000000001</v>
      </c>
      <c r="BE69">
        <v>77</v>
      </c>
      <c r="BF69">
        <v>7784</v>
      </c>
      <c r="BG69" s="5">
        <v>67</v>
      </c>
      <c r="BH69">
        <v>7830</v>
      </c>
      <c r="BI69" s="1">
        <v>0.84438645999999995</v>
      </c>
      <c r="BJ69">
        <v>7830</v>
      </c>
      <c r="BK69" s="5">
        <v>30</v>
      </c>
      <c r="BL69">
        <v>7662</v>
      </c>
      <c r="BN69">
        <v>93</v>
      </c>
      <c r="BP69">
        <v>93</v>
      </c>
      <c r="BR69">
        <v>93</v>
      </c>
      <c r="BT69">
        <v>92</v>
      </c>
      <c r="BV69">
        <v>92</v>
      </c>
      <c r="BX69">
        <v>92</v>
      </c>
    </row>
    <row r="70" spans="1:76" x14ac:dyDescent="0.25">
      <c r="A70">
        <v>68</v>
      </c>
      <c r="B70">
        <v>73</v>
      </c>
      <c r="C70">
        <v>17</v>
      </c>
      <c r="D70">
        <v>86</v>
      </c>
      <c r="E70">
        <v>52</v>
      </c>
      <c r="F70">
        <v>52</v>
      </c>
      <c r="G70">
        <v>6</v>
      </c>
      <c r="H70">
        <v>30</v>
      </c>
      <c r="I70">
        <v>64</v>
      </c>
      <c r="J70">
        <v>2</v>
      </c>
      <c r="K70">
        <v>97</v>
      </c>
      <c r="L70">
        <v>44</v>
      </c>
      <c r="M70">
        <v>21</v>
      </c>
      <c r="N70">
        <v>30</v>
      </c>
      <c r="O70">
        <v>54</v>
      </c>
      <c r="P70">
        <v>36</v>
      </c>
      <c r="Q70">
        <v>43</v>
      </c>
      <c r="R70">
        <v>48</v>
      </c>
      <c r="S70">
        <v>43</v>
      </c>
      <c r="T70">
        <v>53</v>
      </c>
      <c r="U70">
        <v>81</v>
      </c>
      <c r="X70">
        <v>68</v>
      </c>
      <c r="Y70">
        <f t="shared" si="26"/>
        <v>3507</v>
      </c>
      <c r="Z70">
        <f t="shared" si="27"/>
        <v>3647</v>
      </c>
      <c r="AA70">
        <f t="shared" si="28"/>
        <v>3883</v>
      </c>
      <c r="AB70">
        <f t="shared" si="29"/>
        <v>3935</v>
      </c>
      <c r="AC70">
        <f t="shared" si="30"/>
        <v>3987</v>
      </c>
      <c r="AD70">
        <f t="shared" si="31"/>
        <v>4446</v>
      </c>
      <c r="AE70">
        <f t="shared" si="32"/>
        <v>4559</v>
      </c>
      <c r="AF70">
        <f t="shared" si="33"/>
        <v>4691</v>
      </c>
      <c r="AG70">
        <f t="shared" si="34"/>
        <v>4817</v>
      </c>
      <c r="AH70">
        <f t="shared" si="35"/>
        <v>4937</v>
      </c>
      <c r="AI70">
        <f t="shared" si="36"/>
        <v>4981</v>
      </c>
      <c r="AJ70">
        <f t="shared" si="37"/>
        <v>5014</v>
      </c>
      <c r="AK70">
        <f t="shared" si="38"/>
        <v>5060</v>
      </c>
      <c r="AL70">
        <f t="shared" si="39"/>
        <v>5365</v>
      </c>
      <c r="AM70">
        <f t="shared" si="40"/>
        <v>5403</v>
      </c>
      <c r="AN70">
        <f t="shared" si="41"/>
        <v>5446</v>
      </c>
      <c r="AO70">
        <f t="shared" si="42"/>
        <v>5565</v>
      </c>
      <c r="AP70">
        <f t="shared" si="43"/>
        <v>5608</v>
      </c>
      <c r="AQ70">
        <f t="shared" si="44"/>
        <v>5780</v>
      </c>
      <c r="AR70">
        <f t="shared" si="45"/>
        <v>5861</v>
      </c>
      <c r="AX70">
        <v>68</v>
      </c>
      <c r="AY70">
        <v>7787</v>
      </c>
      <c r="AZ70">
        <f t="shared" si="23"/>
        <v>250.90728136637986</v>
      </c>
      <c r="BA70">
        <f t="shared" si="24"/>
        <v>4.0131072992383773E-3</v>
      </c>
      <c r="BB70">
        <f t="shared" si="25"/>
        <v>0.27371842415424613</v>
      </c>
      <c r="BD70">
        <v>4.1008059999999999E-2</v>
      </c>
      <c r="BE70">
        <v>11</v>
      </c>
      <c r="BF70">
        <v>7767</v>
      </c>
      <c r="BG70" s="5">
        <v>68</v>
      </c>
      <c r="BH70">
        <v>7787</v>
      </c>
      <c r="BI70" s="1">
        <v>0.17763715999999999</v>
      </c>
      <c r="BJ70">
        <v>7787</v>
      </c>
      <c r="BK70" s="5">
        <v>119</v>
      </c>
      <c r="BL70">
        <v>7663</v>
      </c>
      <c r="BN70">
        <v>78</v>
      </c>
      <c r="BP70">
        <v>78</v>
      </c>
      <c r="BR70">
        <v>78</v>
      </c>
      <c r="BT70">
        <v>98</v>
      </c>
      <c r="BV70">
        <v>98</v>
      </c>
      <c r="BX70">
        <v>95</v>
      </c>
    </row>
    <row r="71" spans="1:76" x14ac:dyDescent="0.25">
      <c r="A71">
        <v>69</v>
      </c>
      <c r="B71">
        <v>90</v>
      </c>
      <c r="C71">
        <v>82</v>
      </c>
      <c r="D71">
        <v>23</v>
      </c>
      <c r="E71">
        <v>17</v>
      </c>
      <c r="F71">
        <v>91</v>
      </c>
      <c r="G71">
        <v>74</v>
      </c>
      <c r="H71">
        <v>75</v>
      </c>
      <c r="I71">
        <v>99</v>
      </c>
      <c r="J71">
        <v>19</v>
      </c>
      <c r="K71">
        <v>90</v>
      </c>
      <c r="L71">
        <v>99</v>
      </c>
      <c r="M71">
        <v>97</v>
      </c>
      <c r="N71">
        <v>3</v>
      </c>
      <c r="O71">
        <v>85</v>
      </c>
      <c r="P71">
        <v>31</v>
      </c>
      <c r="Q71">
        <v>34</v>
      </c>
      <c r="R71">
        <v>43</v>
      </c>
      <c r="S71">
        <v>57</v>
      </c>
      <c r="T71">
        <v>75</v>
      </c>
      <c r="U71">
        <v>72</v>
      </c>
      <c r="X71">
        <v>69</v>
      </c>
      <c r="Y71">
        <f t="shared" si="26"/>
        <v>3597</v>
      </c>
      <c r="Z71">
        <f t="shared" si="27"/>
        <v>3729</v>
      </c>
      <c r="AA71">
        <f t="shared" si="28"/>
        <v>3906</v>
      </c>
      <c r="AB71">
        <f t="shared" si="29"/>
        <v>3952</v>
      </c>
      <c r="AC71">
        <f t="shared" si="30"/>
        <v>4078</v>
      </c>
      <c r="AD71">
        <f t="shared" si="31"/>
        <v>4520</v>
      </c>
      <c r="AE71">
        <f t="shared" si="32"/>
        <v>4634</v>
      </c>
      <c r="AF71">
        <f t="shared" si="33"/>
        <v>4790</v>
      </c>
      <c r="AG71">
        <f t="shared" si="34"/>
        <v>4836</v>
      </c>
      <c r="AH71">
        <f t="shared" si="35"/>
        <v>5027</v>
      </c>
      <c r="AI71">
        <f t="shared" si="36"/>
        <v>5126</v>
      </c>
      <c r="AJ71">
        <f t="shared" si="37"/>
        <v>5223</v>
      </c>
      <c r="AK71">
        <f t="shared" si="38"/>
        <v>5226</v>
      </c>
      <c r="AL71">
        <f t="shared" si="39"/>
        <v>5450</v>
      </c>
      <c r="AM71">
        <f t="shared" si="40"/>
        <v>5481</v>
      </c>
      <c r="AN71">
        <f t="shared" si="41"/>
        <v>5515</v>
      </c>
      <c r="AO71">
        <f t="shared" si="42"/>
        <v>5608</v>
      </c>
      <c r="AP71">
        <f t="shared" si="43"/>
        <v>5665</v>
      </c>
      <c r="AQ71">
        <f t="shared" si="44"/>
        <v>5855</v>
      </c>
      <c r="AR71">
        <f t="shared" si="45"/>
        <v>5933</v>
      </c>
      <c r="AX71">
        <v>69</v>
      </c>
      <c r="AY71">
        <v>7800</v>
      </c>
      <c r="AZ71">
        <f t="shared" si="23"/>
        <v>250.48910256410255</v>
      </c>
      <c r="BA71">
        <f t="shared" si="24"/>
        <v>4.00641878707298E-3</v>
      </c>
      <c r="BB71">
        <f t="shared" si="25"/>
        <v>0.27772484294131911</v>
      </c>
      <c r="BD71">
        <v>0.99762344000000003</v>
      </c>
      <c r="BE71">
        <v>23</v>
      </c>
      <c r="BF71">
        <v>7822</v>
      </c>
      <c r="BG71" s="5">
        <v>69</v>
      </c>
      <c r="BH71">
        <v>7800</v>
      </c>
      <c r="BI71" s="1">
        <v>0.65218925000000005</v>
      </c>
      <c r="BJ71">
        <v>7800</v>
      </c>
      <c r="BK71" s="5">
        <v>43</v>
      </c>
      <c r="BL71">
        <v>7663</v>
      </c>
      <c r="BN71">
        <v>72</v>
      </c>
      <c r="BP71">
        <v>72</v>
      </c>
      <c r="BR71">
        <v>72</v>
      </c>
      <c r="BT71">
        <v>65</v>
      </c>
      <c r="BV71">
        <v>65</v>
      </c>
      <c r="BX71">
        <v>36</v>
      </c>
    </row>
    <row r="72" spans="1:76" x14ac:dyDescent="0.25">
      <c r="A72">
        <v>70</v>
      </c>
      <c r="B72">
        <v>68</v>
      </c>
      <c r="C72">
        <v>26</v>
      </c>
      <c r="D72">
        <v>94</v>
      </c>
      <c r="E72">
        <v>61</v>
      </c>
      <c r="F72">
        <v>53</v>
      </c>
      <c r="G72">
        <v>4</v>
      </c>
      <c r="H72">
        <v>35</v>
      </c>
      <c r="I72">
        <v>78</v>
      </c>
      <c r="J72">
        <v>33</v>
      </c>
      <c r="K72">
        <v>51</v>
      </c>
      <c r="L72">
        <v>64</v>
      </c>
      <c r="M72">
        <v>96</v>
      </c>
      <c r="N72">
        <v>69</v>
      </c>
      <c r="O72">
        <v>88</v>
      </c>
      <c r="P72">
        <v>60</v>
      </c>
      <c r="Q72">
        <v>48</v>
      </c>
      <c r="R72">
        <v>9</v>
      </c>
      <c r="S72">
        <v>39</v>
      </c>
      <c r="T72">
        <v>40</v>
      </c>
      <c r="U72">
        <v>30</v>
      </c>
      <c r="X72">
        <v>70</v>
      </c>
      <c r="Y72">
        <f t="shared" si="26"/>
        <v>3665</v>
      </c>
      <c r="Z72">
        <f t="shared" si="27"/>
        <v>3755</v>
      </c>
      <c r="AA72">
        <f t="shared" si="28"/>
        <v>4000</v>
      </c>
      <c r="AB72">
        <f t="shared" si="29"/>
        <v>4061</v>
      </c>
      <c r="AC72">
        <f t="shared" si="30"/>
        <v>4131</v>
      </c>
      <c r="AD72">
        <f t="shared" si="31"/>
        <v>4524</v>
      </c>
      <c r="AE72">
        <f t="shared" si="32"/>
        <v>4669</v>
      </c>
      <c r="AF72">
        <f t="shared" si="33"/>
        <v>4868</v>
      </c>
      <c r="AG72">
        <f t="shared" si="34"/>
        <v>4901</v>
      </c>
      <c r="AH72">
        <f t="shared" si="35"/>
        <v>5078</v>
      </c>
      <c r="AI72">
        <f t="shared" si="36"/>
        <v>5190</v>
      </c>
      <c r="AJ72">
        <f t="shared" si="37"/>
        <v>5319</v>
      </c>
      <c r="AK72">
        <f t="shared" si="38"/>
        <v>5388</v>
      </c>
      <c r="AL72">
        <f t="shared" si="39"/>
        <v>5538</v>
      </c>
      <c r="AM72">
        <f t="shared" si="40"/>
        <v>5598</v>
      </c>
      <c r="AN72">
        <f t="shared" si="41"/>
        <v>5646</v>
      </c>
      <c r="AO72">
        <f t="shared" si="42"/>
        <v>5655</v>
      </c>
      <c r="AP72">
        <f t="shared" si="43"/>
        <v>5704</v>
      </c>
      <c r="AQ72">
        <f t="shared" si="44"/>
        <v>5895</v>
      </c>
      <c r="AR72">
        <f t="shared" si="45"/>
        <v>5963</v>
      </c>
      <c r="AX72">
        <v>70</v>
      </c>
      <c r="AY72">
        <v>7803</v>
      </c>
      <c r="AZ72">
        <f t="shared" si="23"/>
        <v>250.39279764193259</v>
      </c>
      <c r="BA72">
        <f t="shared" si="24"/>
        <v>4.0048784492079008E-3</v>
      </c>
      <c r="BB72">
        <f t="shared" si="25"/>
        <v>0.28172972139052699</v>
      </c>
      <c r="BD72">
        <v>0.65017718000000002</v>
      </c>
      <c r="BE72">
        <v>187</v>
      </c>
      <c r="BF72">
        <v>7701</v>
      </c>
      <c r="BG72" s="5">
        <v>70</v>
      </c>
      <c r="BH72">
        <v>7803</v>
      </c>
      <c r="BI72" s="1">
        <v>0.49312036999999997</v>
      </c>
      <c r="BJ72">
        <v>7803</v>
      </c>
      <c r="BK72" s="5">
        <v>3</v>
      </c>
      <c r="BL72">
        <v>7664</v>
      </c>
      <c r="BN72">
        <v>69</v>
      </c>
      <c r="BP72">
        <v>69</v>
      </c>
      <c r="BR72">
        <v>69</v>
      </c>
      <c r="BT72">
        <v>40</v>
      </c>
      <c r="BV72">
        <v>40</v>
      </c>
      <c r="BX72">
        <v>10</v>
      </c>
    </row>
    <row r="73" spans="1:76" x14ac:dyDescent="0.25">
      <c r="A73">
        <v>71</v>
      </c>
      <c r="B73">
        <v>79</v>
      </c>
      <c r="C73">
        <v>89</v>
      </c>
      <c r="D73">
        <v>2</v>
      </c>
      <c r="E73">
        <v>29</v>
      </c>
      <c r="F73">
        <v>5</v>
      </c>
      <c r="G73">
        <v>90</v>
      </c>
      <c r="H73">
        <v>1</v>
      </c>
      <c r="I73">
        <v>11</v>
      </c>
      <c r="J73">
        <v>26</v>
      </c>
      <c r="K73">
        <v>28</v>
      </c>
      <c r="L73">
        <v>55</v>
      </c>
      <c r="M73">
        <v>15</v>
      </c>
      <c r="N73">
        <v>42</v>
      </c>
      <c r="O73">
        <v>46</v>
      </c>
      <c r="P73">
        <v>89</v>
      </c>
      <c r="Q73">
        <v>68</v>
      </c>
      <c r="R73">
        <v>66</v>
      </c>
      <c r="S73">
        <v>8</v>
      </c>
      <c r="T73">
        <v>48</v>
      </c>
      <c r="U73">
        <v>44</v>
      </c>
      <c r="X73">
        <v>71</v>
      </c>
      <c r="Y73">
        <f t="shared" si="26"/>
        <v>3744</v>
      </c>
      <c r="Z73">
        <f t="shared" si="27"/>
        <v>3844</v>
      </c>
      <c r="AA73">
        <f t="shared" si="28"/>
        <v>4002</v>
      </c>
      <c r="AB73">
        <f t="shared" si="29"/>
        <v>4090</v>
      </c>
      <c r="AC73">
        <f t="shared" si="30"/>
        <v>4136</v>
      </c>
      <c r="AD73">
        <f t="shared" si="31"/>
        <v>4614</v>
      </c>
      <c r="AE73">
        <f t="shared" si="32"/>
        <v>4670</v>
      </c>
      <c r="AF73">
        <f t="shared" si="33"/>
        <v>4879</v>
      </c>
      <c r="AG73">
        <f t="shared" si="34"/>
        <v>4927</v>
      </c>
      <c r="AH73">
        <f t="shared" si="35"/>
        <v>5106</v>
      </c>
      <c r="AI73">
        <f t="shared" si="36"/>
        <v>5245</v>
      </c>
      <c r="AJ73">
        <f t="shared" si="37"/>
        <v>5334</v>
      </c>
      <c r="AK73">
        <f t="shared" si="38"/>
        <v>5430</v>
      </c>
      <c r="AL73">
        <f t="shared" si="39"/>
        <v>5584</v>
      </c>
      <c r="AM73">
        <f t="shared" si="40"/>
        <v>5687</v>
      </c>
      <c r="AN73">
        <f t="shared" si="41"/>
        <v>5755</v>
      </c>
      <c r="AO73">
        <f t="shared" si="42"/>
        <v>5821</v>
      </c>
      <c r="AP73">
        <f t="shared" si="43"/>
        <v>5829</v>
      </c>
      <c r="AQ73">
        <f t="shared" si="44"/>
        <v>5943</v>
      </c>
      <c r="AR73">
        <f t="shared" si="45"/>
        <v>6007</v>
      </c>
      <c r="AX73">
        <v>71</v>
      </c>
      <c r="AY73">
        <v>7669</v>
      </c>
      <c r="AZ73">
        <f t="shared" si="23"/>
        <v>254.76789672708307</v>
      </c>
      <c r="BA73">
        <f t="shared" si="24"/>
        <v>4.0748554621422937E-3</v>
      </c>
      <c r="BB73">
        <f t="shared" si="25"/>
        <v>0.2858045768526693</v>
      </c>
      <c r="BD73">
        <v>6.2816259999999999E-2</v>
      </c>
      <c r="BE73">
        <v>180</v>
      </c>
      <c r="BF73">
        <v>7700</v>
      </c>
      <c r="BG73" s="5">
        <v>71</v>
      </c>
      <c r="BH73">
        <v>7669</v>
      </c>
      <c r="BI73" s="1">
        <v>0.11406481</v>
      </c>
      <c r="BJ73">
        <v>7669</v>
      </c>
      <c r="BK73" s="5">
        <v>143</v>
      </c>
      <c r="BL73">
        <v>7664</v>
      </c>
      <c r="BN73">
        <v>23</v>
      </c>
      <c r="BP73">
        <v>23</v>
      </c>
      <c r="BR73">
        <v>23</v>
      </c>
      <c r="BT73">
        <v>70</v>
      </c>
      <c r="BV73">
        <v>70</v>
      </c>
      <c r="BX73">
        <v>20</v>
      </c>
    </row>
    <row r="74" spans="1:76" x14ac:dyDescent="0.25">
      <c r="A74">
        <v>72</v>
      </c>
      <c r="B74">
        <v>50</v>
      </c>
      <c r="C74">
        <v>73</v>
      </c>
      <c r="D74">
        <v>73</v>
      </c>
      <c r="E74">
        <v>39</v>
      </c>
      <c r="F74">
        <v>64</v>
      </c>
      <c r="G74">
        <v>73</v>
      </c>
      <c r="H74">
        <v>99</v>
      </c>
      <c r="I74">
        <v>90</v>
      </c>
      <c r="J74">
        <v>22</v>
      </c>
      <c r="K74">
        <v>83</v>
      </c>
      <c r="L74">
        <v>67</v>
      </c>
      <c r="M74">
        <v>66</v>
      </c>
      <c r="N74">
        <v>14</v>
      </c>
      <c r="O74">
        <v>80</v>
      </c>
      <c r="P74">
        <v>64</v>
      </c>
      <c r="Q74">
        <v>74</v>
      </c>
      <c r="R74">
        <v>15</v>
      </c>
      <c r="S74">
        <v>31</v>
      </c>
      <c r="T74">
        <v>30</v>
      </c>
      <c r="U74">
        <v>13</v>
      </c>
      <c r="X74">
        <v>72</v>
      </c>
      <c r="Y74">
        <f t="shared" si="26"/>
        <v>3794</v>
      </c>
      <c r="Z74">
        <f t="shared" si="27"/>
        <v>3917</v>
      </c>
      <c r="AA74">
        <f t="shared" si="28"/>
        <v>4075</v>
      </c>
      <c r="AB74">
        <f t="shared" si="29"/>
        <v>4129</v>
      </c>
      <c r="AC74">
        <f t="shared" si="30"/>
        <v>4200</v>
      </c>
      <c r="AD74">
        <f t="shared" si="31"/>
        <v>4687</v>
      </c>
      <c r="AE74">
        <f t="shared" si="32"/>
        <v>4786</v>
      </c>
      <c r="AF74">
        <f t="shared" si="33"/>
        <v>4969</v>
      </c>
      <c r="AG74">
        <f t="shared" si="34"/>
        <v>4991</v>
      </c>
      <c r="AH74">
        <f t="shared" si="35"/>
        <v>5189</v>
      </c>
      <c r="AI74">
        <f t="shared" si="36"/>
        <v>5312</v>
      </c>
      <c r="AJ74">
        <f t="shared" si="37"/>
        <v>5400</v>
      </c>
      <c r="AK74">
        <f t="shared" si="38"/>
        <v>5444</v>
      </c>
      <c r="AL74">
        <f t="shared" si="39"/>
        <v>5664</v>
      </c>
      <c r="AM74">
        <f t="shared" si="40"/>
        <v>5751</v>
      </c>
      <c r="AN74">
        <f t="shared" si="41"/>
        <v>5829</v>
      </c>
      <c r="AO74">
        <f t="shared" si="42"/>
        <v>5844</v>
      </c>
      <c r="AP74">
        <f t="shared" si="43"/>
        <v>5875</v>
      </c>
      <c r="AQ74">
        <f t="shared" si="44"/>
        <v>5973</v>
      </c>
      <c r="AR74">
        <f t="shared" si="45"/>
        <v>6020</v>
      </c>
      <c r="AX74">
        <v>72</v>
      </c>
      <c r="AY74">
        <v>7704</v>
      </c>
      <c r="AZ74">
        <f t="shared" si="23"/>
        <v>253.61046209761162</v>
      </c>
      <c r="BA74">
        <f t="shared" si="24"/>
        <v>4.0563430087187493E-3</v>
      </c>
      <c r="BB74">
        <f t="shared" si="25"/>
        <v>0.28986091986138807</v>
      </c>
      <c r="BD74">
        <v>0.90149813999999995</v>
      </c>
      <c r="BE74">
        <v>94</v>
      </c>
      <c r="BF74">
        <v>7745</v>
      </c>
      <c r="BG74" s="5">
        <v>72</v>
      </c>
      <c r="BH74">
        <v>7713</v>
      </c>
      <c r="BI74" s="2">
        <v>7.5181099999999997E-3</v>
      </c>
      <c r="BJ74">
        <v>7704</v>
      </c>
      <c r="BK74" s="5">
        <v>177</v>
      </c>
      <c r="BL74">
        <v>7664</v>
      </c>
      <c r="BN74">
        <v>27</v>
      </c>
      <c r="BP74">
        <v>27</v>
      </c>
      <c r="BR74">
        <v>27</v>
      </c>
      <c r="BT74">
        <v>18</v>
      </c>
      <c r="BV74">
        <v>18</v>
      </c>
      <c r="BX74">
        <v>80</v>
      </c>
    </row>
    <row r="75" spans="1:76" x14ac:dyDescent="0.25">
      <c r="A75">
        <v>73</v>
      </c>
      <c r="B75">
        <v>62</v>
      </c>
      <c r="C75">
        <v>90</v>
      </c>
      <c r="D75">
        <v>13</v>
      </c>
      <c r="E75">
        <v>67</v>
      </c>
      <c r="F75">
        <v>69</v>
      </c>
      <c r="G75">
        <v>34</v>
      </c>
      <c r="H75">
        <v>57</v>
      </c>
      <c r="I75">
        <v>61</v>
      </c>
      <c r="J75">
        <v>28</v>
      </c>
      <c r="K75">
        <v>91</v>
      </c>
      <c r="L75">
        <v>78</v>
      </c>
      <c r="M75">
        <v>51</v>
      </c>
      <c r="N75">
        <v>56</v>
      </c>
      <c r="O75">
        <v>19</v>
      </c>
      <c r="P75">
        <v>36</v>
      </c>
      <c r="Q75">
        <v>86</v>
      </c>
      <c r="R75">
        <v>64</v>
      </c>
      <c r="S75">
        <v>42</v>
      </c>
      <c r="T75">
        <v>49</v>
      </c>
      <c r="U75">
        <v>90</v>
      </c>
      <c r="X75">
        <v>73</v>
      </c>
      <c r="Y75">
        <f t="shared" si="26"/>
        <v>3856</v>
      </c>
      <c r="Z75">
        <f t="shared" si="27"/>
        <v>4007</v>
      </c>
      <c r="AA75">
        <f t="shared" si="28"/>
        <v>4088</v>
      </c>
      <c r="AB75">
        <f t="shared" si="29"/>
        <v>4196</v>
      </c>
      <c r="AC75">
        <f t="shared" si="30"/>
        <v>4269</v>
      </c>
      <c r="AD75">
        <f t="shared" si="31"/>
        <v>4721</v>
      </c>
      <c r="AE75">
        <f t="shared" si="32"/>
        <v>4843</v>
      </c>
      <c r="AF75">
        <f t="shared" si="33"/>
        <v>5030</v>
      </c>
      <c r="AG75">
        <f t="shared" si="34"/>
        <v>5058</v>
      </c>
      <c r="AH75">
        <f t="shared" si="35"/>
        <v>5280</v>
      </c>
      <c r="AI75">
        <f t="shared" si="36"/>
        <v>5390</v>
      </c>
      <c r="AJ75">
        <f t="shared" si="37"/>
        <v>5451</v>
      </c>
      <c r="AK75">
        <f t="shared" si="38"/>
        <v>5507</v>
      </c>
      <c r="AL75">
        <f t="shared" si="39"/>
        <v>5683</v>
      </c>
      <c r="AM75">
        <f t="shared" si="40"/>
        <v>5787</v>
      </c>
      <c r="AN75">
        <f t="shared" si="41"/>
        <v>5915</v>
      </c>
      <c r="AO75">
        <f t="shared" si="42"/>
        <v>5979</v>
      </c>
      <c r="AP75">
        <f t="shared" si="43"/>
        <v>6021</v>
      </c>
      <c r="AQ75">
        <f t="shared" si="44"/>
        <v>6070</v>
      </c>
      <c r="AR75">
        <f t="shared" si="45"/>
        <v>6160</v>
      </c>
      <c r="AX75">
        <v>73</v>
      </c>
      <c r="AY75">
        <v>7765</v>
      </c>
      <c r="AZ75">
        <f t="shared" si="23"/>
        <v>251.6181584030908</v>
      </c>
      <c r="BA75">
        <f t="shared" si="24"/>
        <v>4.0244773392362201E-3</v>
      </c>
      <c r="BB75">
        <f t="shared" si="25"/>
        <v>0.29388539720062429</v>
      </c>
      <c r="BD75">
        <v>0.59315514999999996</v>
      </c>
      <c r="BE75">
        <v>248</v>
      </c>
      <c r="BF75">
        <v>7801</v>
      </c>
      <c r="BG75" s="5">
        <v>73</v>
      </c>
      <c r="BH75">
        <v>7765</v>
      </c>
      <c r="BI75" s="1">
        <v>0.45508182000000003</v>
      </c>
      <c r="BJ75">
        <v>7765</v>
      </c>
      <c r="BK75" s="5">
        <v>103</v>
      </c>
      <c r="BL75">
        <v>7664</v>
      </c>
      <c r="BN75">
        <v>92</v>
      </c>
      <c r="BP75">
        <v>92</v>
      </c>
      <c r="BR75">
        <v>92</v>
      </c>
      <c r="BT75">
        <v>17</v>
      </c>
      <c r="BV75">
        <v>17</v>
      </c>
      <c r="BX75">
        <v>74</v>
      </c>
    </row>
    <row r="76" spans="1:76" x14ac:dyDescent="0.25">
      <c r="A76">
        <v>74</v>
      </c>
      <c r="B76">
        <v>47</v>
      </c>
      <c r="C76">
        <v>10</v>
      </c>
      <c r="D76">
        <v>59</v>
      </c>
      <c r="E76">
        <v>28</v>
      </c>
      <c r="F76">
        <v>99</v>
      </c>
      <c r="G76">
        <v>16</v>
      </c>
      <c r="H76">
        <v>18</v>
      </c>
      <c r="I76">
        <v>38</v>
      </c>
      <c r="J76">
        <v>25</v>
      </c>
      <c r="K76">
        <v>80</v>
      </c>
      <c r="L76">
        <v>12</v>
      </c>
      <c r="M76">
        <v>10</v>
      </c>
      <c r="N76">
        <v>45</v>
      </c>
      <c r="O76">
        <v>67</v>
      </c>
      <c r="P76">
        <v>72</v>
      </c>
      <c r="Q76">
        <v>51</v>
      </c>
      <c r="R76">
        <v>45</v>
      </c>
      <c r="S76">
        <v>6</v>
      </c>
      <c r="T76">
        <v>66</v>
      </c>
      <c r="U76">
        <v>77</v>
      </c>
      <c r="X76">
        <v>74</v>
      </c>
      <c r="Y76">
        <f t="shared" si="26"/>
        <v>3903</v>
      </c>
      <c r="Z76">
        <f t="shared" si="27"/>
        <v>4017</v>
      </c>
      <c r="AA76">
        <f t="shared" si="28"/>
        <v>4147</v>
      </c>
      <c r="AB76">
        <f t="shared" si="29"/>
        <v>4224</v>
      </c>
      <c r="AC76">
        <f t="shared" si="30"/>
        <v>4368</v>
      </c>
      <c r="AD76">
        <f t="shared" si="31"/>
        <v>4737</v>
      </c>
      <c r="AE76">
        <f t="shared" si="32"/>
        <v>4861</v>
      </c>
      <c r="AF76">
        <f t="shared" si="33"/>
        <v>5068</v>
      </c>
      <c r="AG76">
        <f t="shared" si="34"/>
        <v>5093</v>
      </c>
      <c r="AH76">
        <f t="shared" si="35"/>
        <v>5360</v>
      </c>
      <c r="AI76">
        <f t="shared" si="36"/>
        <v>5402</v>
      </c>
      <c r="AJ76">
        <f t="shared" si="37"/>
        <v>5461</v>
      </c>
      <c r="AK76">
        <f t="shared" si="38"/>
        <v>5552</v>
      </c>
      <c r="AL76">
        <f t="shared" si="39"/>
        <v>5750</v>
      </c>
      <c r="AM76">
        <f t="shared" si="40"/>
        <v>5859</v>
      </c>
      <c r="AN76">
        <f t="shared" si="41"/>
        <v>5966</v>
      </c>
      <c r="AO76">
        <f t="shared" si="42"/>
        <v>6024</v>
      </c>
      <c r="AP76">
        <f t="shared" si="43"/>
        <v>6030</v>
      </c>
      <c r="AQ76">
        <f t="shared" si="44"/>
        <v>6136</v>
      </c>
      <c r="AR76">
        <f t="shared" si="45"/>
        <v>6237</v>
      </c>
      <c r="AX76">
        <v>74</v>
      </c>
      <c r="AY76">
        <v>7690</v>
      </c>
      <c r="AZ76">
        <f t="shared" si="23"/>
        <v>254.07217165149544</v>
      </c>
      <c r="BA76">
        <f t="shared" si="24"/>
        <v>4.0637277684225283E-3</v>
      </c>
      <c r="BB76">
        <f t="shared" si="25"/>
        <v>0.2979491249690468</v>
      </c>
      <c r="BD76">
        <v>0.58257621999999998</v>
      </c>
      <c r="BE76">
        <v>176</v>
      </c>
      <c r="BF76">
        <v>7743</v>
      </c>
      <c r="BG76" s="5">
        <v>74</v>
      </c>
      <c r="BH76">
        <v>7690</v>
      </c>
      <c r="BI76" s="1">
        <v>0.73666434999999997</v>
      </c>
      <c r="BJ76">
        <v>7690</v>
      </c>
      <c r="BK76" s="5">
        <v>111</v>
      </c>
      <c r="BL76">
        <v>7669</v>
      </c>
      <c r="BN76">
        <v>85</v>
      </c>
      <c r="BP76">
        <v>85</v>
      </c>
      <c r="BR76">
        <v>85</v>
      </c>
      <c r="BT76">
        <v>33</v>
      </c>
      <c r="BV76">
        <v>33</v>
      </c>
      <c r="BX76">
        <v>88</v>
      </c>
    </row>
    <row r="77" spans="1:76" x14ac:dyDescent="0.25">
      <c r="A77">
        <v>75</v>
      </c>
      <c r="B77">
        <v>22</v>
      </c>
      <c r="C77">
        <v>63</v>
      </c>
      <c r="D77">
        <v>30</v>
      </c>
      <c r="E77">
        <v>22</v>
      </c>
      <c r="F77">
        <v>32</v>
      </c>
      <c r="G77">
        <v>10</v>
      </c>
      <c r="H77">
        <v>85</v>
      </c>
      <c r="I77">
        <v>30</v>
      </c>
      <c r="J77">
        <v>29</v>
      </c>
      <c r="K77">
        <v>9</v>
      </c>
      <c r="L77">
        <v>96</v>
      </c>
      <c r="M77">
        <v>55</v>
      </c>
      <c r="N77">
        <v>61</v>
      </c>
      <c r="O77">
        <v>8</v>
      </c>
      <c r="P77">
        <v>42</v>
      </c>
      <c r="Q77">
        <v>43</v>
      </c>
      <c r="R77">
        <v>86</v>
      </c>
      <c r="S77">
        <v>5</v>
      </c>
      <c r="T77">
        <v>56</v>
      </c>
      <c r="U77">
        <v>22</v>
      </c>
      <c r="X77">
        <v>75</v>
      </c>
      <c r="Y77">
        <f t="shared" si="26"/>
        <v>3925</v>
      </c>
      <c r="Z77">
        <f t="shared" si="27"/>
        <v>4080</v>
      </c>
      <c r="AA77">
        <f t="shared" si="28"/>
        <v>4177</v>
      </c>
      <c r="AB77">
        <f t="shared" si="29"/>
        <v>4246</v>
      </c>
      <c r="AC77">
        <f t="shared" si="30"/>
        <v>4400</v>
      </c>
      <c r="AD77">
        <f t="shared" si="31"/>
        <v>4747</v>
      </c>
      <c r="AE77">
        <f t="shared" si="32"/>
        <v>4946</v>
      </c>
      <c r="AF77">
        <f t="shared" si="33"/>
        <v>5098</v>
      </c>
      <c r="AG77">
        <f t="shared" si="34"/>
        <v>5127</v>
      </c>
      <c r="AH77">
        <f t="shared" si="35"/>
        <v>5369</v>
      </c>
      <c r="AI77">
        <f t="shared" si="36"/>
        <v>5498</v>
      </c>
      <c r="AJ77">
        <f t="shared" si="37"/>
        <v>5553</v>
      </c>
      <c r="AK77">
        <f t="shared" si="38"/>
        <v>5614</v>
      </c>
      <c r="AL77">
        <f t="shared" si="39"/>
        <v>5758</v>
      </c>
      <c r="AM77">
        <f t="shared" si="40"/>
        <v>5901</v>
      </c>
      <c r="AN77">
        <f t="shared" si="41"/>
        <v>6009</v>
      </c>
      <c r="AO77">
        <f t="shared" si="42"/>
        <v>6110</v>
      </c>
      <c r="AP77">
        <f t="shared" si="43"/>
        <v>6115</v>
      </c>
      <c r="AQ77">
        <f t="shared" si="44"/>
        <v>6192</v>
      </c>
      <c r="AR77">
        <f t="shared" si="45"/>
        <v>6259</v>
      </c>
      <c r="AX77">
        <v>75</v>
      </c>
      <c r="AY77">
        <v>7610</v>
      </c>
      <c r="AZ77">
        <f t="shared" si="23"/>
        <v>256.74310118265441</v>
      </c>
      <c r="BA77">
        <f t="shared" si="24"/>
        <v>4.1064476398382718E-3</v>
      </c>
      <c r="BB77">
        <f t="shared" si="25"/>
        <v>0.30205557260888505</v>
      </c>
      <c r="BD77">
        <v>0.35863674000000001</v>
      </c>
      <c r="BE77">
        <v>134</v>
      </c>
      <c r="BF77">
        <v>7732</v>
      </c>
      <c r="BG77" s="5">
        <v>75</v>
      </c>
      <c r="BH77">
        <v>7610</v>
      </c>
      <c r="BI77" s="1">
        <v>0.30176783000000001</v>
      </c>
      <c r="BJ77">
        <v>7610</v>
      </c>
      <c r="BK77" s="5">
        <v>74</v>
      </c>
      <c r="BL77">
        <v>7669</v>
      </c>
      <c r="BN77">
        <v>74</v>
      </c>
      <c r="BP77">
        <v>74</v>
      </c>
      <c r="BR77">
        <v>74</v>
      </c>
      <c r="BT77">
        <v>22</v>
      </c>
      <c r="BV77">
        <v>22</v>
      </c>
      <c r="BX77">
        <v>22</v>
      </c>
    </row>
    <row r="78" spans="1:76" x14ac:dyDescent="0.25">
      <c r="A78">
        <v>76</v>
      </c>
      <c r="B78">
        <v>54</v>
      </c>
      <c r="C78">
        <v>81</v>
      </c>
      <c r="D78">
        <v>47</v>
      </c>
      <c r="E78">
        <v>90</v>
      </c>
      <c r="F78">
        <v>43</v>
      </c>
      <c r="G78">
        <v>7</v>
      </c>
      <c r="H78">
        <v>16</v>
      </c>
      <c r="I78">
        <v>61</v>
      </c>
      <c r="J78">
        <v>6</v>
      </c>
      <c r="K78">
        <v>59</v>
      </c>
      <c r="L78">
        <v>13</v>
      </c>
      <c r="M78">
        <v>8</v>
      </c>
      <c r="N78">
        <v>58</v>
      </c>
      <c r="O78">
        <v>78</v>
      </c>
      <c r="P78">
        <v>19</v>
      </c>
      <c r="Q78">
        <v>18</v>
      </c>
      <c r="R78">
        <v>56</v>
      </c>
      <c r="S78">
        <v>79</v>
      </c>
      <c r="T78">
        <v>39</v>
      </c>
      <c r="U78">
        <v>75</v>
      </c>
      <c r="X78">
        <v>76</v>
      </c>
      <c r="Y78">
        <f t="shared" si="26"/>
        <v>3979</v>
      </c>
      <c r="Z78">
        <f t="shared" si="27"/>
        <v>4161</v>
      </c>
      <c r="AA78">
        <f t="shared" si="28"/>
        <v>4224</v>
      </c>
      <c r="AB78">
        <f t="shared" si="29"/>
        <v>4336</v>
      </c>
      <c r="AC78">
        <f t="shared" si="30"/>
        <v>4443</v>
      </c>
      <c r="AD78">
        <f t="shared" si="31"/>
        <v>4754</v>
      </c>
      <c r="AE78">
        <f t="shared" si="32"/>
        <v>4962</v>
      </c>
      <c r="AF78">
        <f t="shared" si="33"/>
        <v>5159</v>
      </c>
      <c r="AG78">
        <f t="shared" si="34"/>
        <v>5165</v>
      </c>
      <c r="AH78">
        <f t="shared" si="35"/>
        <v>5428</v>
      </c>
      <c r="AI78">
        <f t="shared" si="36"/>
        <v>5511</v>
      </c>
      <c r="AJ78">
        <f t="shared" si="37"/>
        <v>5561</v>
      </c>
      <c r="AK78">
        <f t="shared" si="38"/>
        <v>5672</v>
      </c>
      <c r="AL78">
        <f t="shared" si="39"/>
        <v>5836</v>
      </c>
      <c r="AM78">
        <f t="shared" si="40"/>
        <v>5920</v>
      </c>
      <c r="AN78">
        <f t="shared" si="41"/>
        <v>6027</v>
      </c>
      <c r="AO78">
        <f t="shared" si="42"/>
        <v>6166</v>
      </c>
      <c r="AP78">
        <f t="shared" si="43"/>
        <v>6245</v>
      </c>
      <c r="AQ78">
        <f t="shared" si="44"/>
        <v>6284</v>
      </c>
      <c r="AR78">
        <f t="shared" si="45"/>
        <v>6359</v>
      </c>
      <c r="AX78">
        <v>76</v>
      </c>
      <c r="AY78">
        <v>7594</v>
      </c>
      <c r="AZ78">
        <f t="shared" si="23"/>
        <v>257.28404003160392</v>
      </c>
      <c r="BA78">
        <f t="shared" si="24"/>
        <v>4.1150996232774892E-3</v>
      </c>
      <c r="BB78">
        <f t="shared" si="25"/>
        <v>0.30617067223216254</v>
      </c>
      <c r="BD78">
        <v>0.98498397999999998</v>
      </c>
      <c r="BE78">
        <v>83</v>
      </c>
      <c r="BF78">
        <v>7584</v>
      </c>
      <c r="BG78" s="5">
        <v>76</v>
      </c>
      <c r="BH78">
        <v>7594</v>
      </c>
      <c r="BI78" s="1">
        <v>6.440419E-2</v>
      </c>
      <c r="BJ78">
        <v>7594</v>
      </c>
      <c r="BK78" s="5">
        <v>186</v>
      </c>
      <c r="BL78">
        <v>7669</v>
      </c>
      <c r="BN78">
        <v>5</v>
      </c>
      <c r="BP78">
        <v>5</v>
      </c>
      <c r="BR78">
        <v>5</v>
      </c>
      <c r="BT78">
        <v>30</v>
      </c>
      <c r="BV78">
        <v>30</v>
      </c>
      <c r="BX78">
        <v>30</v>
      </c>
    </row>
    <row r="79" spans="1:76" x14ac:dyDescent="0.25">
      <c r="A79">
        <v>77</v>
      </c>
      <c r="B79">
        <v>94</v>
      </c>
      <c r="C79">
        <v>1</v>
      </c>
      <c r="D79">
        <v>62</v>
      </c>
      <c r="E79">
        <v>51</v>
      </c>
      <c r="F79">
        <v>99</v>
      </c>
      <c r="G79">
        <v>14</v>
      </c>
      <c r="H79">
        <v>17</v>
      </c>
      <c r="I79">
        <v>76</v>
      </c>
      <c r="J79">
        <v>16</v>
      </c>
      <c r="K79">
        <v>27</v>
      </c>
      <c r="L79">
        <v>53</v>
      </c>
      <c r="M79">
        <v>22</v>
      </c>
      <c r="N79">
        <v>30</v>
      </c>
      <c r="O79">
        <v>58</v>
      </c>
      <c r="P79">
        <v>67</v>
      </c>
      <c r="Q79">
        <v>27</v>
      </c>
      <c r="R79">
        <v>71</v>
      </c>
      <c r="S79">
        <v>56</v>
      </c>
      <c r="T79">
        <v>68</v>
      </c>
      <c r="U79">
        <v>87</v>
      </c>
      <c r="X79">
        <v>77</v>
      </c>
      <c r="Y79">
        <f t="shared" si="26"/>
        <v>4073</v>
      </c>
      <c r="Z79">
        <f t="shared" si="27"/>
        <v>4162</v>
      </c>
      <c r="AA79">
        <f t="shared" si="28"/>
        <v>4286</v>
      </c>
      <c r="AB79">
        <f t="shared" si="29"/>
        <v>4387</v>
      </c>
      <c r="AC79">
        <f t="shared" si="30"/>
        <v>4542</v>
      </c>
      <c r="AD79">
        <f t="shared" si="31"/>
        <v>4768</v>
      </c>
      <c r="AE79">
        <f t="shared" si="32"/>
        <v>4979</v>
      </c>
      <c r="AF79">
        <f t="shared" si="33"/>
        <v>5235</v>
      </c>
      <c r="AG79">
        <f t="shared" si="34"/>
        <v>5251</v>
      </c>
      <c r="AH79">
        <f t="shared" si="35"/>
        <v>5455</v>
      </c>
      <c r="AI79">
        <f t="shared" si="36"/>
        <v>5564</v>
      </c>
      <c r="AJ79">
        <f t="shared" si="37"/>
        <v>5586</v>
      </c>
      <c r="AK79">
        <f t="shared" si="38"/>
        <v>5702</v>
      </c>
      <c r="AL79">
        <f t="shared" si="39"/>
        <v>5894</v>
      </c>
      <c r="AM79">
        <f t="shared" si="40"/>
        <v>5987</v>
      </c>
      <c r="AN79">
        <f t="shared" si="41"/>
        <v>6054</v>
      </c>
      <c r="AO79">
        <f t="shared" si="42"/>
        <v>6237</v>
      </c>
      <c r="AP79">
        <f t="shared" si="43"/>
        <v>6301</v>
      </c>
      <c r="AQ79">
        <f t="shared" si="44"/>
        <v>6369</v>
      </c>
      <c r="AR79">
        <f t="shared" si="45"/>
        <v>6456</v>
      </c>
      <c r="AX79">
        <v>77</v>
      </c>
      <c r="AY79">
        <v>7828</v>
      </c>
      <c r="AZ79">
        <f t="shared" si="23"/>
        <v>249.59312723556465</v>
      </c>
      <c r="BA79">
        <f t="shared" si="24"/>
        <v>3.9920882139970939E-3</v>
      </c>
      <c r="BB79">
        <f t="shared" si="25"/>
        <v>0.31016276044615965</v>
      </c>
      <c r="BD79">
        <v>0.67985582</v>
      </c>
      <c r="BE79">
        <v>42</v>
      </c>
      <c r="BF79">
        <v>7644</v>
      </c>
      <c r="BG79" s="5">
        <v>77</v>
      </c>
      <c r="BH79">
        <v>7828</v>
      </c>
      <c r="BI79" s="1">
        <v>0.34015477</v>
      </c>
      <c r="BJ79">
        <v>7828</v>
      </c>
      <c r="BK79" s="5">
        <v>116</v>
      </c>
      <c r="BL79">
        <v>7671</v>
      </c>
      <c r="BN79">
        <v>73</v>
      </c>
      <c r="BP79">
        <v>73</v>
      </c>
      <c r="BR79">
        <v>73</v>
      </c>
      <c r="BT79">
        <v>6</v>
      </c>
      <c r="BV79">
        <v>6</v>
      </c>
      <c r="BX79">
        <v>61</v>
      </c>
    </row>
    <row r="80" spans="1:76" x14ac:dyDescent="0.25">
      <c r="A80">
        <v>78</v>
      </c>
      <c r="B80">
        <v>23</v>
      </c>
      <c r="C80">
        <v>51</v>
      </c>
      <c r="D80">
        <v>22</v>
      </c>
      <c r="E80">
        <v>66</v>
      </c>
      <c r="F80">
        <v>29</v>
      </c>
      <c r="G80">
        <v>11</v>
      </c>
      <c r="H80">
        <v>62</v>
      </c>
      <c r="I80">
        <v>69</v>
      </c>
      <c r="J80">
        <v>51</v>
      </c>
      <c r="K80">
        <v>69</v>
      </c>
      <c r="L80">
        <v>70</v>
      </c>
      <c r="M80">
        <v>72</v>
      </c>
      <c r="N80">
        <v>31</v>
      </c>
      <c r="O80">
        <v>41</v>
      </c>
      <c r="P80">
        <v>78</v>
      </c>
      <c r="Q80">
        <v>57</v>
      </c>
      <c r="R80">
        <v>62</v>
      </c>
      <c r="S80">
        <v>20</v>
      </c>
      <c r="T80">
        <v>69</v>
      </c>
      <c r="U80">
        <v>24</v>
      </c>
      <c r="X80">
        <v>78</v>
      </c>
      <c r="Y80">
        <f t="shared" si="26"/>
        <v>4096</v>
      </c>
      <c r="Z80">
        <f t="shared" si="27"/>
        <v>4213</v>
      </c>
      <c r="AA80">
        <f t="shared" si="28"/>
        <v>4308</v>
      </c>
      <c r="AB80">
        <f t="shared" si="29"/>
        <v>4453</v>
      </c>
      <c r="AC80">
        <f t="shared" si="30"/>
        <v>4571</v>
      </c>
      <c r="AD80">
        <f t="shared" si="31"/>
        <v>4779</v>
      </c>
      <c r="AE80">
        <f t="shared" si="32"/>
        <v>5041</v>
      </c>
      <c r="AF80">
        <f t="shared" si="33"/>
        <v>5304</v>
      </c>
      <c r="AG80">
        <f t="shared" si="34"/>
        <v>5355</v>
      </c>
      <c r="AH80">
        <f t="shared" si="35"/>
        <v>5524</v>
      </c>
      <c r="AI80">
        <f t="shared" si="36"/>
        <v>5634</v>
      </c>
      <c r="AJ80">
        <f t="shared" si="37"/>
        <v>5706</v>
      </c>
      <c r="AK80">
        <f t="shared" si="38"/>
        <v>5737</v>
      </c>
      <c r="AL80">
        <f t="shared" si="39"/>
        <v>5935</v>
      </c>
      <c r="AM80">
        <f t="shared" si="40"/>
        <v>6065</v>
      </c>
      <c r="AN80">
        <f t="shared" si="41"/>
        <v>6122</v>
      </c>
      <c r="AO80">
        <f t="shared" si="42"/>
        <v>6299</v>
      </c>
      <c r="AP80">
        <f t="shared" si="43"/>
        <v>6321</v>
      </c>
      <c r="AQ80">
        <f t="shared" si="44"/>
        <v>6438</v>
      </c>
      <c r="AR80">
        <f t="shared" si="45"/>
        <v>6480</v>
      </c>
      <c r="AX80">
        <v>78</v>
      </c>
      <c r="AY80">
        <v>7800</v>
      </c>
      <c r="AZ80">
        <f t="shared" si="23"/>
        <v>250.48910256410255</v>
      </c>
      <c r="BA80">
        <f t="shared" si="24"/>
        <v>4.00641878707298E-3</v>
      </c>
      <c r="BB80">
        <f t="shared" si="25"/>
        <v>0.31416917923323262</v>
      </c>
      <c r="BD80">
        <v>0.56099957</v>
      </c>
      <c r="BE80">
        <v>16</v>
      </c>
      <c r="BF80">
        <v>7776</v>
      </c>
      <c r="BG80" s="5">
        <v>78</v>
      </c>
      <c r="BH80">
        <v>7800</v>
      </c>
      <c r="BI80" s="2">
        <v>9.4240299999999999E-3</v>
      </c>
      <c r="BJ80">
        <v>7800</v>
      </c>
      <c r="BK80" s="5">
        <v>220</v>
      </c>
      <c r="BL80">
        <v>7671</v>
      </c>
      <c r="BN80">
        <v>12</v>
      </c>
      <c r="BP80">
        <v>12</v>
      </c>
      <c r="BR80">
        <v>12</v>
      </c>
      <c r="BT80">
        <v>93</v>
      </c>
      <c r="BV80">
        <v>93</v>
      </c>
      <c r="BX80">
        <v>85</v>
      </c>
    </row>
    <row r="81" spans="1:76" x14ac:dyDescent="0.25">
      <c r="A81">
        <v>79</v>
      </c>
      <c r="B81">
        <v>14</v>
      </c>
      <c r="C81">
        <v>65</v>
      </c>
      <c r="D81">
        <v>73</v>
      </c>
      <c r="E81">
        <v>58</v>
      </c>
      <c r="F81">
        <v>73</v>
      </c>
      <c r="G81">
        <v>52</v>
      </c>
      <c r="H81">
        <v>77</v>
      </c>
      <c r="I81">
        <v>97</v>
      </c>
      <c r="J81">
        <v>47</v>
      </c>
      <c r="K81">
        <v>2</v>
      </c>
      <c r="L81">
        <v>80</v>
      </c>
      <c r="M81">
        <v>23</v>
      </c>
      <c r="N81">
        <v>44</v>
      </c>
      <c r="O81">
        <v>51</v>
      </c>
      <c r="P81">
        <v>12</v>
      </c>
      <c r="Q81">
        <v>59</v>
      </c>
      <c r="R81">
        <v>71</v>
      </c>
      <c r="S81">
        <v>85</v>
      </c>
      <c r="T81">
        <v>32</v>
      </c>
      <c r="U81">
        <v>83</v>
      </c>
      <c r="X81">
        <v>79</v>
      </c>
      <c r="Y81">
        <f t="shared" si="26"/>
        <v>4110</v>
      </c>
      <c r="Z81">
        <f t="shared" si="27"/>
        <v>4278</v>
      </c>
      <c r="AA81">
        <f t="shared" si="28"/>
        <v>4381</v>
      </c>
      <c r="AB81">
        <f t="shared" si="29"/>
        <v>4511</v>
      </c>
      <c r="AC81">
        <f t="shared" si="30"/>
        <v>4644</v>
      </c>
      <c r="AD81">
        <f t="shared" si="31"/>
        <v>4831</v>
      </c>
      <c r="AE81">
        <f t="shared" si="32"/>
        <v>5118</v>
      </c>
      <c r="AF81">
        <f t="shared" si="33"/>
        <v>5401</v>
      </c>
      <c r="AG81">
        <f t="shared" si="34"/>
        <v>5448</v>
      </c>
      <c r="AH81">
        <f t="shared" si="35"/>
        <v>5526</v>
      </c>
      <c r="AI81">
        <f t="shared" si="36"/>
        <v>5714</v>
      </c>
      <c r="AJ81">
        <f t="shared" si="37"/>
        <v>5737</v>
      </c>
      <c r="AK81">
        <f t="shared" si="38"/>
        <v>5781</v>
      </c>
      <c r="AL81">
        <f t="shared" si="39"/>
        <v>5986</v>
      </c>
      <c r="AM81">
        <f t="shared" si="40"/>
        <v>6077</v>
      </c>
      <c r="AN81">
        <f t="shared" si="41"/>
        <v>6181</v>
      </c>
      <c r="AO81">
        <f t="shared" si="42"/>
        <v>6370</v>
      </c>
      <c r="AP81">
        <f t="shared" si="43"/>
        <v>6455</v>
      </c>
      <c r="AQ81">
        <f t="shared" si="44"/>
        <v>6487</v>
      </c>
      <c r="AR81">
        <f t="shared" si="45"/>
        <v>6570</v>
      </c>
      <c r="AX81">
        <v>79</v>
      </c>
      <c r="AY81">
        <v>7631</v>
      </c>
      <c r="AZ81">
        <f t="shared" si="23"/>
        <v>256.03656139431268</v>
      </c>
      <c r="BA81">
        <f t="shared" si="24"/>
        <v>4.095146971454495E-3</v>
      </c>
      <c r="BB81">
        <f t="shared" si="25"/>
        <v>0.31826432620468714</v>
      </c>
      <c r="BD81">
        <v>0.95779049000000005</v>
      </c>
      <c r="BE81">
        <v>181</v>
      </c>
      <c r="BF81">
        <v>7797</v>
      </c>
      <c r="BG81" s="5">
        <v>79</v>
      </c>
      <c r="BH81">
        <v>7631</v>
      </c>
      <c r="BI81" s="1">
        <v>0.30938375000000001</v>
      </c>
      <c r="BJ81">
        <v>7631</v>
      </c>
      <c r="BK81" s="5">
        <v>142</v>
      </c>
      <c r="BL81">
        <v>7674</v>
      </c>
      <c r="BN81">
        <v>64</v>
      </c>
      <c r="BP81">
        <v>64</v>
      </c>
      <c r="BR81">
        <v>64</v>
      </c>
      <c r="BT81">
        <v>46</v>
      </c>
      <c r="BV81">
        <v>46</v>
      </c>
      <c r="BX81">
        <v>87</v>
      </c>
    </row>
    <row r="82" spans="1:76" x14ac:dyDescent="0.25">
      <c r="A82">
        <v>80</v>
      </c>
      <c r="B82">
        <v>60</v>
      </c>
      <c r="C82">
        <v>24</v>
      </c>
      <c r="D82">
        <v>22</v>
      </c>
      <c r="E82">
        <v>63</v>
      </c>
      <c r="F82">
        <v>14</v>
      </c>
      <c r="G82">
        <v>5</v>
      </c>
      <c r="H82">
        <v>62</v>
      </c>
      <c r="I82">
        <v>45</v>
      </c>
      <c r="J82">
        <v>26</v>
      </c>
      <c r="K82">
        <v>41</v>
      </c>
      <c r="L82">
        <v>52</v>
      </c>
      <c r="M82">
        <v>45</v>
      </c>
      <c r="N82">
        <v>51</v>
      </c>
      <c r="O82">
        <v>74</v>
      </c>
      <c r="P82">
        <v>57</v>
      </c>
      <c r="Q82">
        <v>33</v>
      </c>
      <c r="R82">
        <v>78</v>
      </c>
      <c r="S82">
        <v>94</v>
      </c>
      <c r="T82">
        <v>70</v>
      </c>
      <c r="U82">
        <v>21</v>
      </c>
      <c r="X82">
        <v>80</v>
      </c>
      <c r="Y82">
        <f t="shared" si="26"/>
        <v>4170</v>
      </c>
      <c r="Z82">
        <f t="shared" si="27"/>
        <v>4302</v>
      </c>
      <c r="AA82">
        <f t="shared" si="28"/>
        <v>4403</v>
      </c>
      <c r="AB82">
        <f t="shared" si="29"/>
        <v>4574</v>
      </c>
      <c r="AC82">
        <f t="shared" si="30"/>
        <v>4658</v>
      </c>
      <c r="AD82">
        <f t="shared" si="31"/>
        <v>4836</v>
      </c>
      <c r="AE82">
        <f t="shared" si="32"/>
        <v>5180</v>
      </c>
      <c r="AF82">
        <f t="shared" si="33"/>
        <v>5446</v>
      </c>
      <c r="AG82">
        <f t="shared" si="34"/>
        <v>5474</v>
      </c>
      <c r="AH82">
        <f t="shared" si="35"/>
        <v>5567</v>
      </c>
      <c r="AI82">
        <f t="shared" si="36"/>
        <v>5766</v>
      </c>
      <c r="AJ82">
        <f t="shared" si="37"/>
        <v>5811</v>
      </c>
      <c r="AK82">
        <f t="shared" si="38"/>
        <v>5862</v>
      </c>
      <c r="AL82">
        <f t="shared" si="39"/>
        <v>6060</v>
      </c>
      <c r="AM82">
        <f t="shared" si="40"/>
        <v>6134</v>
      </c>
      <c r="AN82">
        <f t="shared" si="41"/>
        <v>6214</v>
      </c>
      <c r="AO82">
        <f t="shared" si="42"/>
        <v>6448</v>
      </c>
      <c r="AP82">
        <f t="shared" si="43"/>
        <v>6549</v>
      </c>
      <c r="AQ82">
        <f t="shared" si="44"/>
        <v>6619</v>
      </c>
      <c r="AR82">
        <f t="shared" si="45"/>
        <v>6640</v>
      </c>
      <c r="AX82">
        <v>80</v>
      </c>
      <c r="AY82">
        <v>7710</v>
      </c>
      <c r="AZ82">
        <f t="shared" si="23"/>
        <v>253.41309987029831</v>
      </c>
      <c r="BA82">
        <f t="shared" si="24"/>
        <v>4.0531863215524317E-3</v>
      </c>
      <c r="BB82">
        <f t="shared" si="25"/>
        <v>0.32231751252623958</v>
      </c>
      <c r="BD82">
        <v>0.83425121999999996</v>
      </c>
      <c r="BE82">
        <v>38</v>
      </c>
      <c r="BF82">
        <v>7710</v>
      </c>
      <c r="BG82" s="5">
        <v>80</v>
      </c>
      <c r="BH82">
        <v>7710</v>
      </c>
      <c r="BI82" s="1">
        <v>0.26799685000000001</v>
      </c>
      <c r="BJ82">
        <v>7710</v>
      </c>
      <c r="BK82" s="5">
        <v>126</v>
      </c>
      <c r="BL82">
        <v>7676</v>
      </c>
      <c r="BN82">
        <v>56</v>
      </c>
      <c r="BP82">
        <v>56</v>
      </c>
      <c r="BR82">
        <v>56</v>
      </c>
      <c r="BT82">
        <v>56</v>
      </c>
      <c r="BV82">
        <v>56</v>
      </c>
      <c r="BX82">
        <v>65</v>
      </c>
    </row>
    <row r="83" spans="1:76" x14ac:dyDescent="0.25">
      <c r="A83">
        <v>81</v>
      </c>
      <c r="B83">
        <v>13</v>
      </c>
      <c r="C83">
        <v>22</v>
      </c>
      <c r="D83">
        <v>46</v>
      </c>
      <c r="E83">
        <v>43</v>
      </c>
      <c r="F83">
        <v>79</v>
      </c>
      <c r="G83">
        <v>50</v>
      </c>
      <c r="H83">
        <v>51</v>
      </c>
      <c r="I83">
        <v>38</v>
      </c>
      <c r="J83">
        <v>44</v>
      </c>
      <c r="K83">
        <v>81</v>
      </c>
      <c r="L83">
        <v>77</v>
      </c>
      <c r="M83">
        <v>90</v>
      </c>
      <c r="N83">
        <v>17</v>
      </c>
      <c r="O83">
        <v>70</v>
      </c>
      <c r="P83">
        <v>26</v>
      </c>
      <c r="Q83">
        <v>21</v>
      </c>
      <c r="R83">
        <v>13</v>
      </c>
      <c r="S83">
        <v>94</v>
      </c>
      <c r="T83">
        <v>49</v>
      </c>
      <c r="U83">
        <v>41</v>
      </c>
      <c r="X83">
        <v>81</v>
      </c>
      <c r="Y83">
        <f t="shared" si="26"/>
        <v>4183</v>
      </c>
      <c r="Z83">
        <f t="shared" si="27"/>
        <v>4324</v>
      </c>
      <c r="AA83">
        <f t="shared" si="28"/>
        <v>4449</v>
      </c>
      <c r="AB83">
        <f t="shared" si="29"/>
        <v>4617</v>
      </c>
      <c r="AC83">
        <f t="shared" si="30"/>
        <v>4737</v>
      </c>
      <c r="AD83">
        <f t="shared" si="31"/>
        <v>4886</v>
      </c>
      <c r="AE83">
        <f t="shared" si="32"/>
        <v>5231</v>
      </c>
      <c r="AF83">
        <f t="shared" si="33"/>
        <v>5484</v>
      </c>
      <c r="AG83">
        <f t="shared" si="34"/>
        <v>5528</v>
      </c>
      <c r="AH83">
        <f t="shared" si="35"/>
        <v>5648</v>
      </c>
      <c r="AI83">
        <f t="shared" si="36"/>
        <v>5843</v>
      </c>
      <c r="AJ83">
        <f t="shared" si="37"/>
        <v>5933</v>
      </c>
      <c r="AK83">
        <f t="shared" si="38"/>
        <v>5950</v>
      </c>
      <c r="AL83">
        <f t="shared" si="39"/>
        <v>6130</v>
      </c>
      <c r="AM83">
        <f t="shared" si="40"/>
        <v>6160</v>
      </c>
      <c r="AN83">
        <f t="shared" si="41"/>
        <v>6235</v>
      </c>
      <c r="AO83">
        <f t="shared" si="42"/>
        <v>6461</v>
      </c>
      <c r="AP83">
        <f t="shared" si="43"/>
        <v>6643</v>
      </c>
      <c r="AQ83">
        <f t="shared" si="44"/>
        <v>6692</v>
      </c>
      <c r="AR83">
        <f t="shared" si="45"/>
        <v>6733</v>
      </c>
      <c r="AX83">
        <v>81</v>
      </c>
      <c r="AY83">
        <v>7763</v>
      </c>
      <c r="AZ83">
        <f t="shared" si="23"/>
        <v>251.68298338271288</v>
      </c>
      <c r="BA83">
        <f t="shared" si="24"/>
        <v>4.0255141748253573E-3</v>
      </c>
      <c r="BB83">
        <f t="shared" si="25"/>
        <v>0.32634302670106496</v>
      </c>
      <c r="BD83">
        <v>0.44186853999999998</v>
      </c>
      <c r="BE83">
        <v>197</v>
      </c>
      <c r="BF83">
        <v>7816</v>
      </c>
      <c r="BG83" s="5">
        <v>81</v>
      </c>
      <c r="BH83">
        <v>7763</v>
      </c>
      <c r="BI83" s="1">
        <v>0.92505550000000003</v>
      </c>
      <c r="BJ83">
        <v>7763</v>
      </c>
      <c r="BK83" s="5">
        <v>73</v>
      </c>
      <c r="BL83">
        <v>7679</v>
      </c>
      <c r="BN83">
        <v>59</v>
      </c>
      <c r="BP83">
        <v>59</v>
      </c>
      <c r="BR83">
        <v>59</v>
      </c>
      <c r="BT83">
        <v>13</v>
      </c>
      <c r="BV83">
        <v>13</v>
      </c>
      <c r="BX83">
        <v>77</v>
      </c>
    </row>
    <row r="84" spans="1:76" x14ac:dyDescent="0.25">
      <c r="A84">
        <v>82</v>
      </c>
      <c r="B84">
        <v>22</v>
      </c>
      <c r="C84">
        <v>98</v>
      </c>
      <c r="D84">
        <v>81</v>
      </c>
      <c r="E84">
        <v>77</v>
      </c>
      <c r="F84">
        <v>54</v>
      </c>
      <c r="G84">
        <v>48</v>
      </c>
      <c r="H84">
        <v>6</v>
      </c>
      <c r="I84">
        <v>36</v>
      </c>
      <c r="J84">
        <v>83</v>
      </c>
      <c r="K84">
        <v>8</v>
      </c>
      <c r="L84">
        <v>17</v>
      </c>
      <c r="M84">
        <v>75</v>
      </c>
      <c r="N84">
        <v>94</v>
      </c>
      <c r="O84">
        <v>38</v>
      </c>
      <c r="P84">
        <v>28</v>
      </c>
      <c r="Q84">
        <v>98</v>
      </c>
      <c r="R84">
        <v>73</v>
      </c>
      <c r="S84">
        <v>80</v>
      </c>
      <c r="T84">
        <v>70</v>
      </c>
      <c r="U84">
        <v>22</v>
      </c>
      <c r="X84">
        <v>82</v>
      </c>
      <c r="Y84">
        <f t="shared" si="26"/>
        <v>4205</v>
      </c>
      <c r="Z84">
        <f t="shared" si="27"/>
        <v>4422</v>
      </c>
      <c r="AA84">
        <f t="shared" si="28"/>
        <v>4530</v>
      </c>
      <c r="AB84">
        <f t="shared" si="29"/>
        <v>4694</v>
      </c>
      <c r="AC84">
        <f t="shared" si="30"/>
        <v>4791</v>
      </c>
      <c r="AD84">
        <f t="shared" si="31"/>
        <v>4934</v>
      </c>
      <c r="AE84">
        <f t="shared" si="32"/>
        <v>5237</v>
      </c>
      <c r="AF84">
        <f t="shared" si="33"/>
        <v>5520</v>
      </c>
      <c r="AG84">
        <f t="shared" si="34"/>
        <v>5611</v>
      </c>
      <c r="AH84">
        <f t="shared" si="35"/>
        <v>5656</v>
      </c>
      <c r="AI84">
        <f t="shared" si="36"/>
        <v>5860</v>
      </c>
      <c r="AJ84">
        <f t="shared" si="37"/>
        <v>6008</v>
      </c>
      <c r="AK84">
        <f t="shared" si="38"/>
        <v>6102</v>
      </c>
      <c r="AL84">
        <f t="shared" si="39"/>
        <v>6168</v>
      </c>
      <c r="AM84">
        <f t="shared" si="40"/>
        <v>6196</v>
      </c>
      <c r="AN84">
        <f t="shared" si="41"/>
        <v>6333</v>
      </c>
      <c r="AO84">
        <f t="shared" si="42"/>
        <v>6534</v>
      </c>
      <c r="AP84">
        <f t="shared" si="43"/>
        <v>6723</v>
      </c>
      <c r="AQ84">
        <f t="shared" si="44"/>
        <v>6793</v>
      </c>
      <c r="AR84">
        <f t="shared" si="45"/>
        <v>6815</v>
      </c>
      <c r="AX84">
        <v>82</v>
      </c>
      <c r="AY84">
        <v>7866</v>
      </c>
      <c r="AZ84">
        <f t="shared" si="23"/>
        <v>248.38736333587593</v>
      </c>
      <c r="BA84">
        <f t="shared" si="24"/>
        <v>3.972802763687929E-3</v>
      </c>
      <c r="BB84">
        <f t="shared" si="25"/>
        <v>0.33031582946475291</v>
      </c>
      <c r="BD84">
        <v>0.59551805000000002</v>
      </c>
      <c r="BE84">
        <v>179</v>
      </c>
      <c r="BF84">
        <v>7612</v>
      </c>
      <c r="BG84" s="5">
        <v>82</v>
      </c>
      <c r="BH84">
        <v>7907</v>
      </c>
      <c r="BI84" s="2">
        <v>4.2685689999999998E-2</v>
      </c>
      <c r="BJ84">
        <v>7866</v>
      </c>
      <c r="BK84" s="5">
        <v>125</v>
      </c>
      <c r="BL84">
        <v>7679</v>
      </c>
      <c r="BN84">
        <v>35</v>
      </c>
      <c r="BP84">
        <v>35</v>
      </c>
      <c r="BR84">
        <v>35</v>
      </c>
      <c r="BT84">
        <v>73</v>
      </c>
      <c r="BV84">
        <v>73</v>
      </c>
      <c r="BX84">
        <v>73</v>
      </c>
    </row>
    <row r="85" spans="1:76" x14ac:dyDescent="0.25">
      <c r="A85">
        <v>83</v>
      </c>
      <c r="B85">
        <v>57</v>
      </c>
      <c r="C85">
        <v>93</v>
      </c>
      <c r="D85">
        <v>13</v>
      </c>
      <c r="E85">
        <v>93</v>
      </c>
      <c r="F85">
        <v>46</v>
      </c>
      <c r="G85">
        <v>43</v>
      </c>
      <c r="H85">
        <v>49</v>
      </c>
      <c r="I85">
        <v>3</v>
      </c>
      <c r="J85">
        <v>66</v>
      </c>
      <c r="K85">
        <v>24</v>
      </c>
      <c r="L85">
        <v>79</v>
      </c>
      <c r="M85">
        <v>42</v>
      </c>
      <c r="N85">
        <v>85</v>
      </c>
      <c r="O85">
        <v>24</v>
      </c>
      <c r="P85">
        <v>57</v>
      </c>
      <c r="Q85">
        <v>96</v>
      </c>
      <c r="R85">
        <v>40</v>
      </c>
      <c r="S85">
        <v>58</v>
      </c>
      <c r="T85">
        <v>54</v>
      </c>
      <c r="U85">
        <v>40</v>
      </c>
      <c r="X85">
        <v>83</v>
      </c>
      <c r="Y85">
        <f t="shared" si="26"/>
        <v>4262</v>
      </c>
      <c r="Z85">
        <f t="shared" si="27"/>
        <v>4515</v>
      </c>
      <c r="AA85">
        <f t="shared" si="28"/>
        <v>4543</v>
      </c>
      <c r="AB85">
        <f t="shared" si="29"/>
        <v>4787</v>
      </c>
      <c r="AC85">
        <f t="shared" si="30"/>
        <v>4837</v>
      </c>
      <c r="AD85">
        <f t="shared" si="31"/>
        <v>4977</v>
      </c>
      <c r="AE85">
        <f t="shared" si="32"/>
        <v>5286</v>
      </c>
      <c r="AF85">
        <f t="shared" si="33"/>
        <v>5523</v>
      </c>
      <c r="AG85">
        <f t="shared" si="34"/>
        <v>5677</v>
      </c>
      <c r="AH85">
        <f t="shared" si="35"/>
        <v>5701</v>
      </c>
      <c r="AI85">
        <f t="shared" si="36"/>
        <v>5939</v>
      </c>
      <c r="AJ85">
        <f t="shared" si="37"/>
        <v>6050</v>
      </c>
      <c r="AK85">
        <f t="shared" si="38"/>
        <v>6187</v>
      </c>
      <c r="AL85">
        <f t="shared" si="39"/>
        <v>6211</v>
      </c>
      <c r="AM85">
        <f t="shared" si="40"/>
        <v>6268</v>
      </c>
      <c r="AN85">
        <f t="shared" si="41"/>
        <v>6429</v>
      </c>
      <c r="AO85">
        <f t="shared" si="42"/>
        <v>6574</v>
      </c>
      <c r="AP85">
        <f t="shared" si="43"/>
        <v>6781</v>
      </c>
      <c r="AQ85">
        <f t="shared" si="44"/>
        <v>6847</v>
      </c>
      <c r="AR85">
        <f t="shared" si="45"/>
        <v>6887</v>
      </c>
      <c r="AX85">
        <v>83</v>
      </c>
      <c r="AY85">
        <v>7555</v>
      </c>
      <c r="AZ85">
        <f t="shared" si="23"/>
        <v>258.6121773659828</v>
      </c>
      <c r="BA85">
        <f t="shared" si="24"/>
        <v>4.1363423612401388E-3</v>
      </c>
      <c r="BB85">
        <f t="shared" si="25"/>
        <v>0.33445217182599307</v>
      </c>
      <c r="BD85">
        <v>0.14256513000000001</v>
      </c>
      <c r="BE85">
        <v>63</v>
      </c>
      <c r="BF85">
        <v>7512</v>
      </c>
      <c r="BG85" s="5">
        <v>83</v>
      </c>
      <c r="BH85">
        <v>7555</v>
      </c>
      <c r="BI85" s="1">
        <v>0.83624578000000005</v>
      </c>
      <c r="BJ85">
        <v>7555</v>
      </c>
      <c r="BK85" s="5">
        <v>76</v>
      </c>
      <c r="BL85">
        <v>7681</v>
      </c>
      <c r="BN85">
        <v>88</v>
      </c>
      <c r="BP85">
        <v>88</v>
      </c>
      <c r="BR85">
        <v>88</v>
      </c>
      <c r="BT85">
        <v>23</v>
      </c>
      <c r="BV85">
        <v>23</v>
      </c>
      <c r="BX85">
        <v>3</v>
      </c>
    </row>
    <row r="86" spans="1:76" x14ac:dyDescent="0.25">
      <c r="A86">
        <v>84</v>
      </c>
      <c r="B86">
        <v>23</v>
      </c>
      <c r="C86">
        <v>99</v>
      </c>
      <c r="D86">
        <v>38</v>
      </c>
      <c r="E86">
        <v>8</v>
      </c>
      <c r="F86">
        <v>33</v>
      </c>
      <c r="G86">
        <v>11</v>
      </c>
      <c r="H86">
        <v>45</v>
      </c>
      <c r="I86">
        <v>30</v>
      </c>
      <c r="J86">
        <v>78</v>
      </c>
      <c r="K86">
        <v>82</v>
      </c>
      <c r="L86">
        <v>51</v>
      </c>
      <c r="M86">
        <v>92</v>
      </c>
      <c r="N86">
        <v>3</v>
      </c>
      <c r="O86">
        <v>52</v>
      </c>
      <c r="P86">
        <v>74</v>
      </c>
      <c r="Q86">
        <v>79</v>
      </c>
      <c r="R86">
        <v>4</v>
      </c>
      <c r="S86">
        <v>63</v>
      </c>
      <c r="T86">
        <v>60</v>
      </c>
      <c r="U86">
        <v>33</v>
      </c>
      <c r="X86">
        <v>84</v>
      </c>
      <c r="Y86">
        <f t="shared" si="26"/>
        <v>4285</v>
      </c>
      <c r="Z86">
        <f t="shared" si="27"/>
        <v>4614</v>
      </c>
      <c r="AA86">
        <f t="shared" si="28"/>
        <v>4652</v>
      </c>
      <c r="AB86">
        <f t="shared" si="29"/>
        <v>4795</v>
      </c>
      <c r="AC86">
        <f t="shared" si="30"/>
        <v>4870</v>
      </c>
      <c r="AD86">
        <f t="shared" si="31"/>
        <v>4988</v>
      </c>
      <c r="AE86">
        <f t="shared" si="32"/>
        <v>5331</v>
      </c>
      <c r="AF86">
        <f t="shared" si="33"/>
        <v>5553</v>
      </c>
      <c r="AG86">
        <f t="shared" si="34"/>
        <v>5755</v>
      </c>
      <c r="AH86">
        <f t="shared" si="35"/>
        <v>5837</v>
      </c>
      <c r="AI86">
        <f t="shared" si="36"/>
        <v>5990</v>
      </c>
      <c r="AJ86">
        <f t="shared" si="37"/>
        <v>6142</v>
      </c>
      <c r="AK86">
        <f t="shared" si="38"/>
        <v>6190</v>
      </c>
      <c r="AL86">
        <f t="shared" si="39"/>
        <v>6263</v>
      </c>
      <c r="AM86">
        <f t="shared" si="40"/>
        <v>6342</v>
      </c>
      <c r="AN86">
        <f t="shared" si="41"/>
        <v>6508</v>
      </c>
      <c r="AO86">
        <f t="shared" si="42"/>
        <v>6578</v>
      </c>
      <c r="AP86">
        <f t="shared" si="43"/>
        <v>6844</v>
      </c>
      <c r="AQ86">
        <f t="shared" si="44"/>
        <v>6907</v>
      </c>
      <c r="AR86">
        <f t="shared" si="45"/>
        <v>6940</v>
      </c>
      <c r="AX86">
        <v>84</v>
      </c>
      <c r="AY86">
        <v>7716</v>
      </c>
      <c r="AZ86">
        <f t="shared" si="23"/>
        <v>253.21604458268533</v>
      </c>
      <c r="BA86">
        <f t="shared" si="24"/>
        <v>4.0500345436974144E-3</v>
      </c>
      <c r="BB86">
        <f t="shared" si="25"/>
        <v>0.33850220636969047</v>
      </c>
      <c r="BD86">
        <v>0.66493707999999996</v>
      </c>
      <c r="BE86">
        <v>122</v>
      </c>
      <c r="BF86">
        <v>7826</v>
      </c>
      <c r="BG86" s="5">
        <v>84</v>
      </c>
      <c r="BH86">
        <v>7716</v>
      </c>
      <c r="BI86" s="2">
        <v>1.248401E-2</v>
      </c>
      <c r="BJ86">
        <v>7716</v>
      </c>
      <c r="BK86" s="5">
        <v>37</v>
      </c>
      <c r="BL86">
        <v>7681</v>
      </c>
      <c r="BN86">
        <v>9</v>
      </c>
      <c r="BP86">
        <v>9</v>
      </c>
      <c r="BR86">
        <v>9</v>
      </c>
      <c r="BT86">
        <v>44</v>
      </c>
      <c r="BV86">
        <v>44</v>
      </c>
      <c r="BX86">
        <v>31</v>
      </c>
    </row>
    <row r="87" spans="1:76" x14ac:dyDescent="0.25">
      <c r="A87">
        <v>85</v>
      </c>
      <c r="B87">
        <v>97</v>
      </c>
      <c r="C87">
        <v>72</v>
      </c>
      <c r="D87">
        <v>31</v>
      </c>
      <c r="E87">
        <v>29</v>
      </c>
      <c r="F87">
        <v>87</v>
      </c>
      <c r="G87">
        <v>99</v>
      </c>
      <c r="H87">
        <v>88</v>
      </c>
      <c r="I87">
        <v>26</v>
      </c>
      <c r="J87">
        <v>60</v>
      </c>
      <c r="K87">
        <v>35</v>
      </c>
      <c r="L87">
        <v>77</v>
      </c>
      <c r="M87">
        <v>57</v>
      </c>
      <c r="N87">
        <v>59</v>
      </c>
      <c r="O87">
        <v>17</v>
      </c>
      <c r="P87">
        <v>8</v>
      </c>
      <c r="Q87">
        <v>91</v>
      </c>
      <c r="R87">
        <v>29</v>
      </c>
      <c r="S87">
        <v>60</v>
      </c>
      <c r="T87">
        <v>28</v>
      </c>
      <c r="U87">
        <v>73</v>
      </c>
      <c r="X87">
        <v>85</v>
      </c>
      <c r="Y87">
        <f t="shared" si="26"/>
        <v>4382</v>
      </c>
      <c r="Z87">
        <f t="shared" si="27"/>
        <v>4686</v>
      </c>
      <c r="AA87">
        <f t="shared" si="28"/>
        <v>4717</v>
      </c>
      <c r="AB87">
        <f t="shared" si="29"/>
        <v>4824</v>
      </c>
      <c r="AC87">
        <f t="shared" si="30"/>
        <v>4957</v>
      </c>
      <c r="AD87">
        <f t="shared" si="31"/>
        <v>5087</v>
      </c>
      <c r="AE87">
        <f t="shared" si="32"/>
        <v>5419</v>
      </c>
      <c r="AF87">
        <f t="shared" si="33"/>
        <v>5579</v>
      </c>
      <c r="AG87">
        <f t="shared" si="34"/>
        <v>5815</v>
      </c>
      <c r="AH87">
        <f t="shared" si="35"/>
        <v>5872</v>
      </c>
      <c r="AI87">
        <f t="shared" si="36"/>
        <v>6067</v>
      </c>
      <c r="AJ87">
        <f t="shared" si="37"/>
        <v>6199</v>
      </c>
      <c r="AK87">
        <f t="shared" si="38"/>
        <v>6258</v>
      </c>
      <c r="AL87">
        <f t="shared" si="39"/>
        <v>6280</v>
      </c>
      <c r="AM87">
        <f t="shared" si="40"/>
        <v>6350</v>
      </c>
      <c r="AN87">
        <f t="shared" si="41"/>
        <v>6599</v>
      </c>
      <c r="AO87">
        <f t="shared" si="42"/>
        <v>6628</v>
      </c>
      <c r="AP87">
        <f t="shared" si="43"/>
        <v>6904</v>
      </c>
      <c r="AQ87">
        <f t="shared" si="44"/>
        <v>6935</v>
      </c>
      <c r="AR87">
        <f t="shared" si="45"/>
        <v>7013</v>
      </c>
      <c r="AX87">
        <v>85</v>
      </c>
      <c r="AY87">
        <v>7579</v>
      </c>
      <c r="AZ87">
        <f t="shared" si="23"/>
        <v>257.79324449135771</v>
      </c>
      <c r="BA87">
        <f t="shared" si="24"/>
        <v>4.1232440347234792E-3</v>
      </c>
      <c r="BB87">
        <f t="shared" si="25"/>
        <v>0.34262545040441394</v>
      </c>
      <c r="BD87">
        <v>4.4781679999999997E-2</v>
      </c>
      <c r="BE87">
        <v>14</v>
      </c>
      <c r="BF87">
        <v>7543</v>
      </c>
      <c r="BG87" s="5">
        <v>85</v>
      </c>
      <c r="BH87">
        <v>7579</v>
      </c>
      <c r="BI87" s="1">
        <v>0.17879057000000001</v>
      </c>
      <c r="BJ87">
        <v>7579</v>
      </c>
      <c r="BK87" s="5">
        <v>237</v>
      </c>
      <c r="BL87">
        <v>7682</v>
      </c>
      <c r="BN87">
        <v>49</v>
      </c>
      <c r="BP87">
        <v>49</v>
      </c>
      <c r="BR87">
        <v>49</v>
      </c>
      <c r="BT87">
        <v>9</v>
      </c>
      <c r="BV87">
        <v>9</v>
      </c>
      <c r="BX87">
        <v>9</v>
      </c>
    </row>
    <row r="88" spans="1:76" x14ac:dyDescent="0.25">
      <c r="A88">
        <v>86</v>
      </c>
      <c r="B88">
        <v>11</v>
      </c>
      <c r="C88">
        <v>57</v>
      </c>
      <c r="D88">
        <v>83</v>
      </c>
      <c r="E88">
        <v>98</v>
      </c>
      <c r="F88">
        <v>28</v>
      </c>
      <c r="G88">
        <v>86</v>
      </c>
      <c r="H88">
        <v>97</v>
      </c>
      <c r="I88">
        <v>45</v>
      </c>
      <c r="J88">
        <v>22</v>
      </c>
      <c r="K88">
        <v>72</v>
      </c>
      <c r="L88">
        <v>99</v>
      </c>
      <c r="M88">
        <v>1</v>
      </c>
      <c r="N88">
        <v>54</v>
      </c>
      <c r="O88">
        <v>93</v>
      </c>
      <c r="P88">
        <v>30</v>
      </c>
      <c r="Q88">
        <v>91</v>
      </c>
      <c r="R88">
        <v>83</v>
      </c>
      <c r="S88">
        <v>79</v>
      </c>
      <c r="T88">
        <v>39</v>
      </c>
      <c r="U88">
        <v>33</v>
      </c>
      <c r="X88">
        <v>86</v>
      </c>
      <c r="Y88">
        <f t="shared" si="26"/>
        <v>4393</v>
      </c>
      <c r="Z88">
        <f t="shared" si="27"/>
        <v>4743</v>
      </c>
      <c r="AA88">
        <f t="shared" si="28"/>
        <v>4826</v>
      </c>
      <c r="AB88">
        <f t="shared" si="29"/>
        <v>4924</v>
      </c>
      <c r="AC88">
        <f t="shared" si="30"/>
        <v>4985</v>
      </c>
      <c r="AD88">
        <f t="shared" si="31"/>
        <v>5173</v>
      </c>
      <c r="AE88">
        <f t="shared" si="32"/>
        <v>5516</v>
      </c>
      <c r="AF88">
        <f t="shared" si="33"/>
        <v>5624</v>
      </c>
      <c r="AG88">
        <f t="shared" si="34"/>
        <v>5837</v>
      </c>
      <c r="AH88">
        <f t="shared" si="35"/>
        <v>5944</v>
      </c>
      <c r="AI88">
        <f t="shared" si="36"/>
        <v>6166</v>
      </c>
      <c r="AJ88">
        <f t="shared" si="37"/>
        <v>6200</v>
      </c>
      <c r="AK88">
        <f t="shared" si="38"/>
        <v>6312</v>
      </c>
      <c r="AL88">
        <f t="shared" si="39"/>
        <v>6405</v>
      </c>
      <c r="AM88">
        <f t="shared" si="40"/>
        <v>6435</v>
      </c>
      <c r="AN88">
        <f t="shared" si="41"/>
        <v>6690</v>
      </c>
      <c r="AO88">
        <f t="shared" si="42"/>
        <v>6773</v>
      </c>
      <c r="AP88">
        <f t="shared" si="43"/>
        <v>6983</v>
      </c>
      <c r="AQ88">
        <f t="shared" si="44"/>
        <v>7022</v>
      </c>
      <c r="AR88">
        <f t="shared" si="45"/>
        <v>7055</v>
      </c>
      <c r="AX88">
        <v>86</v>
      </c>
      <c r="AY88">
        <v>7850</v>
      </c>
      <c r="AZ88">
        <f t="shared" si="23"/>
        <v>248.8936305732484</v>
      </c>
      <c r="BA88">
        <f t="shared" si="24"/>
        <v>3.9809001960725158E-3</v>
      </c>
      <c r="BB88">
        <f t="shared" si="25"/>
        <v>0.34660635060048645</v>
      </c>
      <c r="BD88">
        <v>0.75186651999999998</v>
      </c>
      <c r="BE88">
        <v>177</v>
      </c>
      <c r="BF88">
        <v>7922</v>
      </c>
      <c r="BG88" s="5">
        <v>86</v>
      </c>
      <c r="BH88">
        <v>7850</v>
      </c>
      <c r="BI88" s="1">
        <v>0.95775001999999998</v>
      </c>
      <c r="BJ88">
        <v>7850</v>
      </c>
      <c r="BK88" s="5">
        <v>189</v>
      </c>
      <c r="BL88">
        <v>7684</v>
      </c>
      <c r="BN88">
        <v>62</v>
      </c>
      <c r="BP88">
        <v>62</v>
      </c>
      <c r="BR88">
        <v>62</v>
      </c>
      <c r="BT88">
        <v>55</v>
      </c>
      <c r="BV88">
        <v>55</v>
      </c>
      <c r="BX88">
        <v>55</v>
      </c>
    </row>
    <row r="89" spans="1:76" x14ac:dyDescent="0.25">
      <c r="A89">
        <v>87</v>
      </c>
      <c r="B89">
        <v>53</v>
      </c>
      <c r="C89">
        <v>67</v>
      </c>
      <c r="D89">
        <v>37</v>
      </c>
      <c r="E89">
        <v>98</v>
      </c>
      <c r="F89">
        <v>78</v>
      </c>
      <c r="G89">
        <v>70</v>
      </c>
      <c r="H89">
        <v>52</v>
      </c>
      <c r="I89">
        <v>85</v>
      </c>
      <c r="J89">
        <v>41</v>
      </c>
      <c r="K89">
        <v>76</v>
      </c>
      <c r="L89">
        <v>12</v>
      </c>
      <c r="M89">
        <v>44</v>
      </c>
      <c r="N89">
        <v>36</v>
      </c>
      <c r="O89">
        <v>95</v>
      </c>
      <c r="P89">
        <v>31</v>
      </c>
      <c r="Q89">
        <v>89</v>
      </c>
      <c r="R89">
        <v>63</v>
      </c>
      <c r="S89">
        <v>26</v>
      </c>
      <c r="T89">
        <v>71</v>
      </c>
      <c r="U89">
        <v>41</v>
      </c>
      <c r="X89">
        <v>87</v>
      </c>
      <c r="Y89">
        <f t="shared" si="26"/>
        <v>4446</v>
      </c>
      <c r="Z89">
        <f t="shared" si="27"/>
        <v>4810</v>
      </c>
      <c r="AA89">
        <f t="shared" si="28"/>
        <v>4863</v>
      </c>
      <c r="AB89">
        <f t="shared" si="29"/>
        <v>5022</v>
      </c>
      <c r="AC89">
        <f t="shared" si="30"/>
        <v>5100</v>
      </c>
      <c r="AD89">
        <f t="shared" si="31"/>
        <v>5243</v>
      </c>
      <c r="AE89">
        <f t="shared" si="32"/>
        <v>5568</v>
      </c>
      <c r="AF89">
        <f t="shared" si="33"/>
        <v>5709</v>
      </c>
      <c r="AG89">
        <f t="shared" si="34"/>
        <v>5878</v>
      </c>
      <c r="AH89">
        <f t="shared" si="35"/>
        <v>6020</v>
      </c>
      <c r="AI89">
        <f t="shared" si="36"/>
        <v>6178</v>
      </c>
      <c r="AJ89">
        <f t="shared" si="37"/>
        <v>6244</v>
      </c>
      <c r="AK89">
        <f t="shared" si="38"/>
        <v>6348</v>
      </c>
      <c r="AL89">
        <f t="shared" si="39"/>
        <v>6500</v>
      </c>
      <c r="AM89">
        <f t="shared" si="40"/>
        <v>6531</v>
      </c>
      <c r="AN89">
        <f t="shared" si="41"/>
        <v>6779</v>
      </c>
      <c r="AO89">
        <f t="shared" si="42"/>
        <v>6842</v>
      </c>
      <c r="AP89">
        <f t="shared" si="43"/>
        <v>7009</v>
      </c>
      <c r="AQ89">
        <f t="shared" si="44"/>
        <v>7093</v>
      </c>
      <c r="AR89">
        <f t="shared" si="45"/>
        <v>7134</v>
      </c>
      <c r="AX89">
        <v>87</v>
      </c>
      <c r="AY89">
        <v>7747</v>
      </c>
      <c r="AZ89">
        <f t="shared" si="23"/>
        <v>252.20278817606817</v>
      </c>
      <c r="BA89">
        <f t="shared" si="24"/>
        <v>4.0338281320729634E-3</v>
      </c>
      <c r="BB89">
        <f t="shared" si="25"/>
        <v>0.35064017873255943</v>
      </c>
      <c r="BD89">
        <v>2.825606E-2</v>
      </c>
      <c r="BE89">
        <v>233</v>
      </c>
      <c r="BF89">
        <v>7816</v>
      </c>
      <c r="BG89" s="5">
        <v>87</v>
      </c>
      <c r="BH89">
        <v>7747</v>
      </c>
      <c r="BI89" s="1">
        <v>8.6875079999999993E-2</v>
      </c>
      <c r="BJ89">
        <v>7747</v>
      </c>
      <c r="BK89" s="5">
        <v>250</v>
      </c>
      <c r="BL89">
        <v>7685</v>
      </c>
      <c r="BN89">
        <v>44</v>
      </c>
      <c r="BP89">
        <v>44</v>
      </c>
      <c r="BR89">
        <v>44</v>
      </c>
      <c r="BT89">
        <v>16</v>
      </c>
      <c r="BV89">
        <v>16</v>
      </c>
      <c r="BX89">
        <v>11</v>
      </c>
    </row>
    <row r="90" spans="1:76" x14ac:dyDescent="0.25">
      <c r="A90">
        <v>88</v>
      </c>
      <c r="B90">
        <v>3</v>
      </c>
      <c r="C90">
        <v>60</v>
      </c>
      <c r="D90">
        <v>59</v>
      </c>
      <c r="E90">
        <v>17</v>
      </c>
      <c r="F90">
        <v>27</v>
      </c>
      <c r="G90">
        <v>77</v>
      </c>
      <c r="H90">
        <v>57</v>
      </c>
      <c r="I90">
        <v>33</v>
      </c>
      <c r="J90">
        <v>66</v>
      </c>
      <c r="K90">
        <v>91</v>
      </c>
      <c r="L90">
        <v>13</v>
      </c>
      <c r="M90">
        <v>21</v>
      </c>
      <c r="N90">
        <v>42</v>
      </c>
      <c r="O90">
        <v>35</v>
      </c>
      <c r="P90">
        <v>36</v>
      </c>
      <c r="Q90">
        <v>92</v>
      </c>
      <c r="R90">
        <v>90</v>
      </c>
      <c r="S90">
        <v>19</v>
      </c>
      <c r="T90">
        <v>68</v>
      </c>
      <c r="U90">
        <v>5</v>
      </c>
      <c r="X90">
        <v>88</v>
      </c>
      <c r="Y90">
        <f t="shared" si="26"/>
        <v>4449</v>
      </c>
      <c r="Z90">
        <f t="shared" si="27"/>
        <v>4870</v>
      </c>
      <c r="AA90">
        <f t="shared" si="28"/>
        <v>4929</v>
      </c>
      <c r="AB90">
        <f t="shared" si="29"/>
        <v>5039</v>
      </c>
      <c r="AC90">
        <f t="shared" si="30"/>
        <v>5127</v>
      </c>
      <c r="AD90">
        <f t="shared" si="31"/>
        <v>5320</v>
      </c>
      <c r="AE90">
        <f t="shared" si="32"/>
        <v>5625</v>
      </c>
      <c r="AF90">
        <f t="shared" si="33"/>
        <v>5742</v>
      </c>
      <c r="AG90">
        <f t="shared" si="34"/>
        <v>5944</v>
      </c>
      <c r="AH90">
        <f t="shared" si="35"/>
        <v>6111</v>
      </c>
      <c r="AI90">
        <f t="shared" si="36"/>
        <v>6191</v>
      </c>
      <c r="AJ90">
        <f t="shared" si="37"/>
        <v>6265</v>
      </c>
      <c r="AK90">
        <f t="shared" si="38"/>
        <v>6390</v>
      </c>
      <c r="AL90">
        <f t="shared" si="39"/>
        <v>6535</v>
      </c>
      <c r="AM90">
        <f t="shared" si="40"/>
        <v>6571</v>
      </c>
      <c r="AN90">
        <f t="shared" si="41"/>
        <v>6871</v>
      </c>
      <c r="AO90">
        <f t="shared" si="42"/>
        <v>6961</v>
      </c>
      <c r="AP90">
        <f t="shared" si="43"/>
        <v>7028</v>
      </c>
      <c r="AQ90">
        <f t="shared" si="44"/>
        <v>7161</v>
      </c>
      <c r="AR90">
        <f t="shared" si="45"/>
        <v>7166</v>
      </c>
      <c r="AX90">
        <v>88</v>
      </c>
      <c r="AY90">
        <v>7730</v>
      </c>
      <c r="AZ90">
        <f t="shared" si="23"/>
        <v>252.75743855109963</v>
      </c>
      <c r="BA90">
        <f t="shared" si="24"/>
        <v>4.0426994229196961E-3</v>
      </c>
      <c r="BB90">
        <f t="shared" si="25"/>
        <v>0.35468287815547911</v>
      </c>
      <c r="BD90">
        <v>0.19365531</v>
      </c>
      <c r="BE90">
        <v>97</v>
      </c>
      <c r="BF90">
        <v>7656</v>
      </c>
      <c r="BG90" s="5">
        <v>88</v>
      </c>
      <c r="BH90">
        <v>7730</v>
      </c>
      <c r="BI90" s="1">
        <v>0.48898965</v>
      </c>
      <c r="BJ90">
        <v>7730</v>
      </c>
      <c r="BK90" s="5">
        <v>4</v>
      </c>
      <c r="BL90">
        <v>7690</v>
      </c>
      <c r="BN90">
        <v>31</v>
      </c>
      <c r="BP90">
        <v>31</v>
      </c>
      <c r="BR90">
        <v>31</v>
      </c>
      <c r="BT90">
        <v>74</v>
      </c>
      <c r="BV90">
        <v>74</v>
      </c>
      <c r="BX90">
        <v>70</v>
      </c>
    </row>
    <row r="91" spans="1:76" x14ac:dyDescent="0.25">
      <c r="A91">
        <v>89</v>
      </c>
      <c r="B91">
        <v>18</v>
      </c>
      <c r="C91">
        <v>2</v>
      </c>
      <c r="D91">
        <v>98</v>
      </c>
      <c r="E91">
        <v>56</v>
      </c>
      <c r="F91">
        <v>53</v>
      </c>
      <c r="G91">
        <v>39</v>
      </c>
      <c r="H91">
        <v>45</v>
      </c>
      <c r="I91">
        <v>11</v>
      </c>
      <c r="J91">
        <v>64</v>
      </c>
      <c r="K91">
        <v>18</v>
      </c>
      <c r="L91">
        <v>35</v>
      </c>
      <c r="M91">
        <v>52</v>
      </c>
      <c r="N91">
        <v>96</v>
      </c>
      <c r="O91">
        <v>22</v>
      </c>
      <c r="P91">
        <v>84</v>
      </c>
      <c r="Q91">
        <v>30</v>
      </c>
      <c r="R91">
        <v>67</v>
      </c>
      <c r="S91">
        <v>4</v>
      </c>
      <c r="T91">
        <v>95</v>
      </c>
      <c r="U91">
        <v>47</v>
      </c>
      <c r="X91">
        <v>89</v>
      </c>
      <c r="Y91">
        <f t="shared" si="26"/>
        <v>4467</v>
      </c>
      <c r="Z91">
        <f t="shared" si="27"/>
        <v>4872</v>
      </c>
      <c r="AA91">
        <f t="shared" si="28"/>
        <v>5027</v>
      </c>
      <c r="AB91">
        <f t="shared" si="29"/>
        <v>5095</v>
      </c>
      <c r="AC91">
        <f t="shared" si="30"/>
        <v>5180</v>
      </c>
      <c r="AD91">
        <f t="shared" si="31"/>
        <v>5359</v>
      </c>
      <c r="AE91">
        <f t="shared" si="32"/>
        <v>5670</v>
      </c>
      <c r="AF91">
        <f t="shared" si="33"/>
        <v>5753</v>
      </c>
      <c r="AG91">
        <f t="shared" si="34"/>
        <v>6008</v>
      </c>
      <c r="AH91">
        <f t="shared" si="35"/>
        <v>6129</v>
      </c>
      <c r="AI91">
        <f t="shared" si="36"/>
        <v>6226</v>
      </c>
      <c r="AJ91">
        <f t="shared" si="37"/>
        <v>6317</v>
      </c>
      <c r="AK91">
        <f t="shared" si="38"/>
        <v>6486</v>
      </c>
      <c r="AL91">
        <f t="shared" si="39"/>
        <v>6557</v>
      </c>
      <c r="AM91">
        <f t="shared" si="40"/>
        <v>6655</v>
      </c>
      <c r="AN91">
        <f t="shared" si="41"/>
        <v>6901</v>
      </c>
      <c r="AO91">
        <f t="shared" si="42"/>
        <v>7028</v>
      </c>
      <c r="AP91">
        <f t="shared" si="43"/>
        <v>7032</v>
      </c>
      <c r="AQ91">
        <f t="shared" si="44"/>
        <v>7256</v>
      </c>
      <c r="AR91">
        <f t="shared" si="45"/>
        <v>7303</v>
      </c>
      <c r="AX91">
        <v>89</v>
      </c>
      <c r="AY91">
        <v>8153</v>
      </c>
      <c r="AZ91">
        <f t="shared" si="23"/>
        <v>239.64368943947014</v>
      </c>
      <c r="BA91">
        <f t="shared" si="24"/>
        <v>3.8329530895583525E-3</v>
      </c>
      <c r="BB91">
        <f t="shared" si="25"/>
        <v>0.35851583124503744</v>
      </c>
      <c r="BD91">
        <v>0.15125394</v>
      </c>
      <c r="BE91">
        <v>2</v>
      </c>
      <c r="BF91">
        <v>7705</v>
      </c>
      <c r="BG91" s="5">
        <v>89</v>
      </c>
      <c r="BH91">
        <v>8153</v>
      </c>
      <c r="BI91" s="1">
        <v>0.35167670000000001</v>
      </c>
      <c r="BJ91">
        <v>8153</v>
      </c>
      <c r="BK91" s="5">
        <v>94</v>
      </c>
      <c r="BL91">
        <v>7692</v>
      </c>
      <c r="BN91">
        <v>97</v>
      </c>
      <c r="BP91">
        <v>97</v>
      </c>
      <c r="BR91">
        <v>97</v>
      </c>
      <c r="BT91">
        <v>5</v>
      </c>
      <c r="BV91">
        <v>5</v>
      </c>
      <c r="BX91">
        <v>5</v>
      </c>
    </row>
    <row r="92" spans="1:76" x14ac:dyDescent="0.25">
      <c r="A92">
        <v>90</v>
      </c>
      <c r="B92">
        <v>66</v>
      </c>
      <c r="C92">
        <v>48</v>
      </c>
      <c r="D92">
        <v>21</v>
      </c>
      <c r="E92">
        <v>19</v>
      </c>
      <c r="F92">
        <v>11</v>
      </c>
      <c r="G92">
        <v>21</v>
      </c>
      <c r="H92">
        <v>20</v>
      </c>
      <c r="I92">
        <v>83</v>
      </c>
      <c r="J92">
        <v>3</v>
      </c>
      <c r="K92">
        <v>45</v>
      </c>
      <c r="L92">
        <v>20</v>
      </c>
      <c r="M92">
        <v>96</v>
      </c>
      <c r="N92">
        <v>69</v>
      </c>
      <c r="O92">
        <v>54</v>
      </c>
      <c r="P92">
        <v>82</v>
      </c>
      <c r="Q92">
        <v>36</v>
      </c>
      <c r="R92">
        <v>18</v>
      </c>
      <c r="S92">
        <v>58</v>
      </c>
      <c r="T92">
        <v>72</v>
      </c>
      <c r="U92">
        <v>69</v>
      </c>
      <c r="X92">
        <v>90</v>
      </c>
      <c r="Y92">
        <f t="shared" si="26"/>
        <v>4533</v>
      </c>
      <c r="Z92">
        <f t="shared" si="27"/>
        <v>4920</v>
      </c>
      <c r="AA92">
        <f t="shared" si="28"/>
        <v>5048</v>
      </c>
      <c r="AB92">
        <f t="shared" si="29"/>
        <v>5114</v>
      </c>
      <c r="AC92">
        <f t="shared" si="30"/>
        <v>5191</v>
      </c>
      <c r="AD92">
        <f t="shared" si="31"/>
        <v>5380</v>
      </c>
      <c r="AE92">
        <f t="shared" si="32"/>
        <v>5690</v>
      </c>
      <c r="AF92">
        <f t="shared" si="33"/>
        <v>5836</v>
      </c>
      <c r="AG92">
        <f t="shared" si="34"/>
        <v>6011</v>
      </c>
      <c r="AH92">
        <f t="shared" si="35"/>
        <v>6174</v>
      </c>
      <c r="AI92">
        <f t="shared" si="36"/>
        <v>6246</v>
      </c>
      <c r="AJ92">
        <f t="shared" si="37"/>
        <v>6413</v>
      </c>
      <c r="AK92">
        <f t="shared" si="38"/>
        <v>6555</v>
      </c>
      <c r="AL92">
        <f t="shared" si="39"/>
        <v>6611</v>
      </c>
      <c r="AM92">
        <f t="shared" si="40"/>
        <v>6737</v>
      </c>
      <c r="AN92">
        <f t="shared" si="41"/>
        <v>6937</v>
      </c>
      <c r="AO92">
        <f t="shared" si="42"/>
        <v>7046</v>
      </c>
      <c r="AP92">
        <f t="shared" si="43"/>
        <v>7104</v>
      </c>
      <c r="AQ92">
        <f t="shared" si="44"/>
        <v>7328</v>
      </c>
      <c r="AR92">
        <f t="shared" si="45"/>
        <v>7397</v>
      </c>
      <c r="AX92">
        <v>90</v>
      </c>
      <c r="AY92">
        <v>7992</v>
      </c>
      <c r="AZ92">
        <f t="shared" si="23"/>
        <v>244.47134634634634</v>
      </c>
      <c r="BA92">
        <f t="shared" si="24"/>
        <v>3.9101684858820381E-3</v>
      </c>
      <c r="BB92">
        <f t="shared" si="25"/>
        <v>0.36242599973091949</v>
      </c>
      <c r="BD92">
        <v>0.60456889999999996</v>
      </c>
      <c r="BE92">
        <v>179</v>
      </c>
      <c r="BF92">
        <v>7612</v>
      </c>
      <c r="BG92" s="5">
        <v>90</v>
      </c>
      <c r="BH92">
        <v>7992</v>
      </c>
      <c r="BI92" s="1">
        <v>0.24402325999999999</v>
      </c>
      <c r="BJ92">
        <v>7992</v>
      </c>
      <c r="BK92" s="5">
        <v>153</v>
      </c>
      <c r="BL92">
        <v>7694</v>
      </c>
      <c r="BN92">
        <v>51</v>
      </c>
      <c r="BP92">
        <v>51</v>
      </c>
      <c r="BR92">
        <v>51</v>
      </c>
      <c r="BT92">
        <v>67</v>
      </c>
      <c r="BV92">
        <v>67</v>
      </c>
      <c r="BX92">
        <v>86</v>
      </c>
    </row>
    <row r="93" spans="1:76" x14ac:dyDescent="0.25">
      <c r="A93">
        <v>91</v>
      </c>
      <c r="B93">
        <v>75</v>
      </c>
      <c r="C93">
        <v>72</v>
      </c>
      <c r="D93">
        <v>65</v>
      </c>
      <c r="E93">
        <v>53</v>
      </c>
      <c r="F93">
        <v>99</v>
      </c>
      <c r="G93">
        <v>27</v>
      </c>
      <c r="H93">
        <v>78</v>
      </c>
      <c r="I93">
        <v>97</v>
      </c>
      <c r="J93">
        <v>17</v>
      </c>
      <c r="K93">
        <v>83</v>
      </c>
      <c r="L93">
        <v>6</v>
      </c>
      <c r="M93">
        <v>24</v>
      </c>
      <c r="N93">
        <v>80</v>
      </c>
      <c r="O93">
        <v>31</v>
      </c>
      <c r="P93">
        <v>49</v>
      </c>
      <c r="Q93">
        <v>28</v>
      </c>
      <c r="R93">
        <v>40</v>
      </c>
      <c r="S93">
        <v>67</v>
      </c>
      <c r="T93">
        <v>21</v>
      </c>
      <c r="U93">
        <v>1</v>
      </c>
      <c r="X93">
        <v>91</v>
      </c>
      <c r="Y93">
        <f t="shared" si="26"/>
        <v>4608</v>
      </c>
      <c r="Z93">
        <f t="shared" si="27"/>
        <v>4992</v>
      </c>
      <c r="AA93">
        <f t="shared" si="28"/>
        <v>5113</v>
      </c>
      <c r="AB93">
        <f t="shared" si="29"/>
        <v>5167</v>
      </c>
      <c r="AC93">
        <f t="shared" si="30"/>
        <v>5290</v>
      </c>
      <c r="AD93">
        <f t="shared" si="31"/>
        <v>5407</v>
      </c>
      <c r="AE93">
        <f t="shared" si="32"/>
        <v>5768</v>
      </c>
      <c r="AF93">
        <f t="shared" si="33"/>
        <v>5933</v>
      </c>
      <c r="AG93">
        <f t="shared" si="34"/>
        <v>6028</v>
      </c>
      <c r="AH93">
        <f t="shared" si="35"/>
        <v>6257</v>
      </c>
      <c r="AI93">
        <f t="shared" si="36"/>
        <v>6263</v>
      </c>
      <c r="AJ93">
        <f t="shared" si="37"/>
        <v>6437</v>
      </c>
      <c r="AK93">
        <f t="shared" si="38"/>
        <v>6635</v>
      </c>
      <c r="AL93">
        <f t="shared" si="39"/>
        <v>6666</v>
      </c>
      <c r="AM93">
        <f t="shared" si="40"/>
        <v>6786</v>
      </c>
      <c r="AN93">
        <f t="shared" si="41"/>
        <v>6965</v>
      </c>
      <c r="AO93">
        <f t="shared" si="42"/>
        <v>7086</v>
      </c>
      <c r="AP93">
        <f t="shared" si="43"/>
        <v>7171</v>
      </c>
      <c r="AQ93">
        <f t="shared" si="44"/>
        <v>7349</v>
      </c>
      <c r="AR93">
        <f t="shared" si="45"/>
        <v>7398</v>
      </c>
      <c r="AX93">
        <v>91</v>
      </c>
      <c r="AY93">
        <v>7662</v>
      </c>
      <c r="AZ93">
        <f t="shared" si="23"/>
        <v>255.00065257113025</v>
      </c>
      <c r="BA93">
        <f t="shared" si="24"/>
        <v>4.0785782483906616E-3</v>
      </c>
      <c r="BB93">
        <f t="shared" si="25"/>
        <v>0.36650457797931013</v>
      </c>
      <c r="BD93">
        <v>0.20379149999999999</v>
      </c>
      <c r="BE93">
        <v>39</v>
      </c>
      <c r="BF93">
        <v>7644</v>
      </c>
      <c r="BG93" s="5">
        <v>91</v>
      </c>
      <c r="BH93">
        <v>7662</v>
      </c>
      <c r="BI93" s="1">
        <v>6.3260440000000001E-2</v>
      </c>
      <c r="BJ93">
        <v>7662</v>
      </c>
      <c r="BK93" s="5">
        <v>136</v>
      </c>
      <c r="BL93">
        <v>7695</v>
      </c>
      <c r="BN93">
        <v>28</v>
      </c>
      <c r="BP93">
        <v>28</v>
      </c>
      <c r="BR93">
        <v>28</v>
      </c>
      <c r="BT93">
        <v>31</v>
      </c>
      <c r="BV93">
        <v>31</v>
      </c>
      <c r="BX93">
        <v>52</v>
      </c>
    </row>
    <row r="94" spans="1:76" x14ac:dyDescent="0.25">
      <c r="A94">
        <v>92</v>
      </c>
      <c r="B94">
        <v>51</v>
      </c>
      <c r="C94">
        <v>93</v>
      </c>
      <c r="D94">
        <v>8</v>
      </c>
      <c r="E94">
        <v>4</v>
      </c>
      <c r="F94">
        <v>45</v>
      </c>
      <c r="G94">
        <v>82</v>
      </c>
      <c r="H94">
        <v>21</v>
      </c>
      <c r="I94">
        <v>67</v>
      </c>
      <c r="J94">
        <v>78</v>
      </c>
      <c r="K94">
        <v>95</v>
      </c>
      <c r="L94">
        <v>6</v>
      </c>
      <c r="M94">
        <v>69</v>
      </c>
      <c r="N94">
        <v>26</v>
      </c>
      <c r="O94">
        <v>3</v>
      </c>
      <c r="P94">
        <v>35</v>
      </c>
      <c r="Q94">
        <v>31</v>
      </c>
      <c r="R94">
        <v>98</v>
      </c>
      <c r="S94">
        <v>55</v>
      </c>
      <c r="T94">
        <v>46</v>
      </c>
      <c r="U94">
        <v>80</v>
      </c>
      <c r="X94">
        <v>92</v>
      </c>
      <c r="Y94">
        <f t="shared" si="26"/>
        <v>4659</v>
      </c>
      <c r="Z94">
        <f t="shared" si="27"/>
        <v>5085</v>
      </c>
      <c r="AA94">
        <f t="shared" si="28"/>
        <v>5121</v>
      </c>
      <c r="AB94">
        <f t="shared" si="29"/>
        <v>5171</v>
      </c>
      <c r="AC94">
        <f t="shared" si="30"/>
        <v>5335</v>
      </c>
      <c r="AD94">
        <f t="shared" si="31"/>
        <v>5489</v>
      </c>
      <c r="AE94">
        <f t="shared" si="32"/>
        <v>5789</v>
      </c>
      <c r="AF94">
        <f t="shared" si="33"/>
        <v>6000</v>
      </c>
      <c r="AG94">
        <f t="shared" si="34"/>
        <v>6106</v>
      </c>
      <c r="AH94">
        <f t="shared" si="35"/>
        <v>6352</v>
      </c>
      <c r="AI94">
        <f t="shared" si="36"/>
        <v>6358</v>
      </c>
      <c r="AJ94">
        <f t="shared" si="37"/>
        <v>6506</v>
      </c>
      <c r="AK94">
        <f t="shared" si="38"/>
        <v>6661</v>
      </c>
      <c r="AL94">
        <f t="shared" si="39"/>
        <v>6669</v>
      </c>
      <c r="AM94">
        <f t="shared" si="40"/>
        <v>6821</v>
      </c>
      <c r="AN94">
        <f t="shared" si="41"/>
        <v>6996</v>
      </c>
      <c r="AO94">
        <f t="shared" si="42"/>
        <v>7184</v>
      </c>
      <c r="AP94">
        <f t="shared" si="43"/>
        <v>7239</v>
      </c>
      <c r="AQ94">
        <f t="shared" si="44"/>
        <v>7395</v>
      </c>
      <c r="AR94">
        <f t="shared" si="45"/>
        <v>7478</v>
      </c>
      <c r="AX94">
        <v>92</v>
      </c>
      <c r="AY94">
        <v>7659</v>
      </c>
      <c r="AZ94">
        <f t="shared" si="23"/>
        <v>255.10053531792661</v>
      </c>
      <c r="BA94">
        <f t="shared" si="24"/>
        <v>4.0801758113551698E-3</v>
      </c>
      <c r="BB94">
        <f t="shared" si="25"/>
        <v>0.3705847537906653</v>
      </c>
      <c r="BD94">
        <v>0.71612125999999998</v>
      </c>
      <c r="BE94">
        <v>198</v>
      </c>
      <c r="BF94">
        <v>7677</v>
      </c>
      <c r="BG94" s="5">
        <v>92</v>
      </c>
      <c r="BH94">
        <v>7659</v>
      </c>
      <c r="BI94" s="1">
        <v>0.30421835000000003</v>
      </c>
      <c r="BJ94">
        <v>7659</v>
      </c>
      <c r="BK94" s="5">
        <v>139</v>
      </c>
      <c r="BL94">
        <v>7695</v>
      </c>
      <c r="BN94">
        <v>2</v>
      </c>
      <c r="BP94">
        <v>2</v>
      </c>
      <c r="BR94">
        <v>2</v>
      </c>
      <c r="BT94">
        <v>64</v>
      </c>
      <c r="BV94">
        <v>64</v>
      </c>
      <c r="BX94">
        <v>59</v>
      </c>
    </row>
    <row r="95" spans="1:76" x14ac:dyDescent="0.25">
      <c r="A95">
        <v>93</v>
      </c>
      <c r="B95">
        <v>81</v>
      </c>
      <c r="C95">
        <v>75</v>
      </c>
      <c r="D95">
        <v>50</v>
      </c>
      <c r="E95">
        <v>98</v>
      </c>
      <c r="F95">
        <v>8</v>
      </c>
      <c r="G95">
        <v>42</v>
      </c>
      <c r="H95">
        <v>24</v>
      </c>
      <c r="I95">
        <v>76</v>
      </c>
      <c r="J95">
        <v>48</v>
      </c>
      <c r="K95">
        <v>29</v>
      </c>
      <c r="L95">
        <v>91</v>
      </c>
      <c r="M95">
        <v>76</v>
      </c>
      <c r="N95">
        <v>33</v>
      </c>
      <c r="O95">
        <v>34</v>
      </c>
      <c r="P95">
        <v>83</v>
      </c>
      <c r="Q95">
        <v>25</v>
      </c>
      <c r="R95">
        <v>94</v>
      </c>
      <c r="S95">
        <v>79</v>
      </c>
      <c r="T95">
        <v>17</v>
      </c>
      <c r="U95">
        <v>9</v>
      </c>
      <c r="X95">
        <v>93</v>
      </c>
      <c r="Y95">
        <f t="shared" si="26"/>
        <v>4740</v>
      </c>
      <c r="Z95">
        <f t="shared" si="27"/>
        <v>5160</v>
      </c>
      <c r="AA95">
        <f t="shared" si="28"/>
        <v>5210</v>
      </c>
      <c r="AB95">
        <f t="shared" si="29"/>
        <v>5308</v>
      </c>
      <c r="AC95">
        <f t="shared" si="30"/>
        <v>5343</v>
      </c>
      <c r="AD95">
        <f t="shared" si="31"/>
        <v>5531</v>
      </c>
      <c r="AE95">
        <f t="shared" si="32"/>
        <v>5813</v>
      </c>
      <c r="AF95">
        <f t="shared" si="33"/>
        <v>6076</v>
      </c>
      <c r="AG95">
        <f t="shared" si="34"/>
        <v>6154</v>
      </c>
      <c r="AH95">
        <f t="shared" si="35"/>
        <v>6381</v>
      </c>
      <c r="AI95">
        <f t="shared" si="36"/>
        <v>6472</v>
      </c>
      <c r="AJ95">
        <f t="shared" si="37"/>
        <v>6582</v>
      </c>
      <c r="AK95">
        <f t="shared" si="38"/>
        <v>6694</v>
      </c>
      <c r="AL95">
        <f t="shared" si="39"/>
        <v>6728</v>
      </c>
      <c r="AM95">
        <f t="shared" si="40"/>
        <v>6904</v>
      </c>
      <c r="AN95">
        <f t="shared" si="41"/>
        <v>7021</v>
      </c>
      <c r="AO95">
        <f t="shared" si="42"/>
        <v>7278</v>
      </c>
      <c r="AP95">
        <f t="shared" si="43"/>
        <v>7357</v>
      </c>
      <c r="AQ95">
        <f t="shared" si="44"/>
        <v>7412</v>
      </c>
      <c r="AR95">
        <f t="shared" si="45"/>
        <v>7487</v>
      </c>
      <c r="AX95">
        <v>93</v>
      </c>
      <c r="AY95">
        <v>7699</v>
      </c>
      <c r="AZ95">
        <f t="shared" si="23"/>
        <v>253.77516560592284</v>
      </c>
      <c r="BA95">
        <f t="shared" si="24"/>
        <v>4.0589773398063706E-3</v>
      </c>
      <c r="BB95">
        <f t="shared" si="25"/>
        <v>0.37464373113047167</v>
      </c>
      <c r="BD95">
        <v>0.68663931</v>
      </c>
      <c r="BE95">
        <v>49</v>
      </c>
      <c r="BF95">
        <v>7793</v>
      </c>
      <c r="BG95" s="5">
        <v>93</v>
      </c>
      <c r="BH95">
        <v>7699</v>
      </c>
      <c r="BI95" s="1">
        <v>0.92283630000000005</v>
      </c>
      <c r="BJ95">
        <v>7699</v>
      </c>
      <c r="BK95" s="5">
        <v>61</v>
      </c>
      <c r="BL95">
        <v>7695</v>
      </c>
      <c r="BN95">
        <v>20</v>
      </c>
      <c r="BP95">
        <v>20</v>
      </c>
      <c r="BR95">
        <v>20</v>
      </c>
      <c r="BT95">
        <v>66</v>
      </c>
      <c r="BV95">
        <v>66</v>
      </c>
      <c r="BX95">
        <v>71</v>
      </c>
    </row>
    <row r="96" spans="1:76" x14ac:dyDescent="0.25">
      <c r="A96">
        <v>94</v>
      </c>
      <c r="B96">
        <v>90</v>
      </c>
      <c r="C96">
        <v>45</v>
      </c>
      <c r="D96">
        <v>27</v>
      </c>
      <c r="E96">
        <v>12</v>
      </c>
      <c r="F96">
        <v>64</v>
      </c>
      <c r="G96">
        <v>81</v>
      </c>
      <c r="H96">
        <v>32</v>
      </c>
      <c r="I96">
        <v>28</v>
      </c>
      <c r="J96">
        <v>56</v>
      </c>
      <c r="K96">
        <v>69</v>
      </c>
      <c r="L96">
        <v>66</v>
      </c>
      <c r="M96">
        <v>61</v>
      </c>
      <c r="N96">
        <v>2</v>
      </c>
      <c r="O96">
        <v>43</v>
      </c>
      <c r="P96">
        <v>69</v>
      </c>
      <c r="Q96">
        <v>79</v>
      </c>
      <c r="R96">
        <v>84</v>
      </c>
      <c r="S96">
        <v>53</v>
      </c>
      <c r="T96">
        <v>85</v>
      </c>
      <c r="U96">
        <v>88</v>
      </c>
      <c r="X96">
        <v>94</v>
      </c>
      <c r="Y96">
        <f t="shared" si="26"/>
        <v>4830</v>
      </c>
      <c r="Z96">
        <f t="shared" si="27"/>
        <v>5205</v>
      </c>
      <c r="AA96">
        <f t="shared" si="28"/>
        <v>5237</v>
      </c>
      <c r="AB96">
        <f t="shared" si="29"/>
        <v>5320</v>
      </c>
      <c r="AC96">
        <f t="shared" si="30"/>
        <v>5407</v>
      </c>
      <c r="AD96">
        <f t="shared" si="31"/>
        <v>5612</v>
      </c>
      <c r="AE96">
        <f t="shared" si="32"/>
        <v>5845</v>
      </c>
      <c r="AF96">
        <f t="shared" si="33"/>
        <v>6104</v>
      </c>
      <c r="AG96">
        <f t="shared" si="34"/>
        <v>6210</v>
      </c>
      <c r="AH96">
        <f t="shared" si="35"/>
        <v>6450</v>
      </c>
      <c r="AI96">
        <f t="shared" si="36"/>
        <v>6538</v>
      </c>
      <c r="AJ96">
        <f t="shared" si="37"/>
        <v>6643</v>
      </c>
      <c r="AK96">
        <f t="shared" si="38"/>
        <v>6696</v>
      </c>
      <c r="AL96">
        <f t="shared" si="39"/>
        <v>6771</v>
      </c>
      <c r="AM96">
        <f t="shared" si="40"/>
        <v>6973</v>
      </c>
      <c r="AN96">
        <f t="shared" si="41"/>
        <v>7100</v>
      </c>
      <c r="AO96">
        <f t="shared" si="42"/>
        <v>7362</v>
      </c>
      <c r="AP96">
        <f t="shared" si="43"/>
        <v>7415</v>
      </c>
      <c r="AQ96">
        <f t="shared" si="44"/>
        <v>7500</v>
      </c>
      <c r="AR96">
        <f t="shared" si="45"/>
        <v>7588</v>
      </c>
      <c r="AX96">
        <v>94</v>
      </c>
      <c r="AY96">
        <v>7762</v>
      </c>
      <c r="AZ96">
        <f t="shared" si="23"/>
        <v>251.71540839989694</v>
      </c>
      <c r="BA96">
        <f t="shared" si="24"/>
        <v>4.0260327929875356E-3</v>
      </c>
      <c r="BB96">
        <f t="shared" si="25"/>
        <v>0.37866976392345919</v>
      </c>
      <c r="BD96">
        <v>0.94006318</v>
      </c>
      <c r="BE96">
        <v>40</v>
      </c>
      <c r="BF96">
        <v>7692</v>
      </c>
      <c r="BG96" s="5">
        <v>94</v>
      </c>
      <c r="BH96">
        <v>7762</v>
      </c>
      <c r="BI96" s="1">
        <v>0.73000735000000005</v>
      </c>
      <c r="BJ96">
        <v>7762</v>
      </c>
      <c r="BK96" s="5">
        <v>79</v>
      </c>
      <c r="BL96">
        <v>7695</v>
      </c>
      <c r="BN96">
        <v>10</v>
      </c>
      <c r="BP96">
        <v>10</v>
      </c>
      <c r="BR96">
        <v>10</v>
      </c>
      <c r="BT96">
        <v>49</v>
      </c>
      <c r="BV96">
        <v>49</v>
      </c>
      <c r="BX96">
        <v>34</v>
      </c>
    </row>
    <row r="97" spans="1:76" x14ac:dyDescent="0.25">
      <c r="A97">
        <v>95</v>
      </c>
      <c r="B97">
        <v>17</v>
      </c>
      <c r="C97">
        <v>41</v>
      </c>
      <c r="D97">
        <v>29</v>
      </c>
      <c r="E97">
        <v>65</v>
      </c>
      <c r="F97">
        <v>77</v>
      </c>
      <c r="G97">
        <v>72</v>
      </c>
      <c r="H97">
        <v>6</v>
      </c>
      <c r="I97">
        <v>15</v>
      </c>
      <c r="J97">
        <v>20</v>
      </c>
      <c r="K97">
        <v>14</v>
      </c>
      <c r="L97">
        <v>73</v>
      </c>
      <c r="M97">
        <v>59</v>
      </c>
      <c r="N97">
        <v>61</v>
      </c>
      <c r="O97">
        <v>20</v>
      </c>
      <c r="P97">
        <v>1</v>
      </c>
      <c r="Q97">
        <v>45</v>
      </c>
      <c r="R97">
        <v>96</v>
      </c>
      <c r="S97">
        <v>39</v>
      </c>
      <c r="T97">
        <v>92</v>
      </c>
      <c r="U97">
        <v>91</v>
      </c>
      <c r="X97">
        <v>95</v>
      </c>
      <c r="Y97">
        <f t="shared" si="26"/>
        <v>4847</v>
      </c>
      <c r="Z97">
        <f t="shared" si="27"/>
        <v>5246</v>
      </c>
      <c r="AA97">
        <f t="shared" si="28"/>
        <v>5275</v>
      </c>
      <c r="AB97">
        <f t="shared" si="29"/>
        <v>5385</v>
      </c>
      <c r="AC97">
        <f t="shared" si="30"/>
        <v>5484</v>
      </c>
      <c r="AD97">
        <f t="shared" si="31"/>
        <v>5684</v>
      </c>
      <c r="AE97">
        <f t="shared" si="32"/>
        <v>5851</v>
      </c>
      <c r="AF97">
        <f t="shared" si="33"/>
        <v>6119</v>
      </c>
      <c r="AG97">
        <f t="shared" si="34"/>
        <v>6230</v>
      </c>
      <c r="AH97">
        <f t="shared" si="35"/>
        <v>6464</v>
      </c>
      <c r="AI97">
        <f t="shared" si="36"/>
        <v>6611</v>
      </c>
      <c r="AJ97">
        <f t="shared" si="37"/>
        <v>6702</v>
      </c>
      <c r="AK97">
        <f t="shared" si="38"/>
        <v>6763</v>
      </c>
      <c r="AL97">
        <f t="shared" si="39"/>
        <v>6791</v>
      </c>
      <c r="AM97">
        <f t="shared" si="40"/>
        <v>6974</v>
      </c>
      <c r="AN97">
        <f t="shared" si="41"/>
        <v>7145</v>
      </c>
      <c r="AO97">
        <f t="shared" si="42"/>
        <v>7458</v>
      </c>
      <c r="AP97">
        <f t="shared" si="43"/>
        <v>7497</v>
      </c>
      <c r="AQ97">
        <f t="shared" si="44"/>
        <v>7592</v>
      </c>
      <c r="AR97">
        <f t="shared" si="45"/>
        <v>7683</v>
      </c>
      <c r="AX97">
        <v>95</v>
      </c>
      <c r="AY97">
        <v>7856</v>
      </c>
      <c r="AZ97">
        <f t="shared" si="23"/>
        <v>248.70353869653769</v>
      </c>
      <c r="BA97">
        <f t="shared" si="24"/>
        <v>3.9778597936824403E-3</v>
      </c>
      <c r="BB97">
        <f t="shared" si="25"/>
        <v>0.38264762371714162</v>
      </c>
      <c r="BD97">
        <v>0.62235748999999996</v>
      </c>
      <c r="BE97">
        <v>71</v>
      </c>
      <c r="BF97">
        <v>7692</v>
      </c>
      <c r="BG97" s="5">
        <v>95</v>
      </c>
      <c r="BH97">
        <v>7856</v>
      </c>
      <c r="BI97" s="1">
        <v>0.25691950000000002</v>
      </c>
      <c r="BJ97">
        <v>7856</v>
      </c>
      <c r="BK97" s="5">
        <v>229</v>
      </c>
      <c r="BL97">
        <v>7695</v>
      </c>
      <c r="BN97">
        <v>90</v>
      </c>
      <c r="BP97">
        <v>90</v>
      </c>
      <c r="BR97">
        <v>90</v>
      </c>
      <c r="BT97">
        <v>32</v>
      </c>
      <c r="BV97">
        <v>32</v>
      </c>
      <c r="BX97">
        <v>32</v>
      </c>
    </row>
    <row r="98" spans="1:76" x14ac:dyDescent="0.25">
      <c r="A98">
        <v>96</v>
      </c>
      <c r="B98">
        <v>6</v>
      </c>
      <c r="C98">
        <v>96</v>
      </c>
      <c r="D98">
        <v>1</v>
      </c>
      <c r="E98">
        <v>53</v>
      </c>
      <c r="F98">
        <v>29</v>
      </c>
      <c r="G98">
        <v>92</v>
      </c>
      <c r="H98">
        <v>54</v>
      </c>
      <c r="I98">
        <v>90</v>
      </c>
      <c r="J98">
        <v>36</v>
      </c>
      <c r="K98">
        <v>5</v>
      </c>
      <c r="L98">
        <v>88</v>
      </c>
      <c r="M98">
        <v>87</v>
      </c>
      <c r="N98">
        <v>47</v>
      </c>
      <c r="O98">
        <v>73</v>
      </c>
      <c r="P98">
        <v>69</v>
      </c>
      <c r="Q98">
        <v>43</v>
      </c>
      <c r="R98">
        <v>81</v>
      </c>
      <c r="S98">
        <v>13</v>
      </c>
      <c r="T98">
        <v>79</v>
      </c>
      <c r="U98">
        <v>16</v>
      </c>
      <c r="X98">
        <v>96</v>
      </c>
      <c r="Y98">
        <f t="shared" si="26"/>
        <v>4853</v>
      </c>
      <c r="Z98">
        <f t="shared" si="27"/>
        <v>5342</v>
      </c>
      <c r="AA98">
        <f t="shared" si="28"/>
        <v>5343</v>
      </c>
      <c r="AB98">
        <f t="shared" si="29"/>
        <v>5438</v>
      </c>
      <c r="AC98">
        <f t="shared" si="30"/>
        <v>5513</v>
      </c>
      <c r="AD98">
        <f t="shared" si="31"/>
        <v>5776</v>
      </c>
      <c r="AE98">
        <f t="shared" si="32"/>
        <v>5905</v>
      </c>
      <c r="AF98">
        <f t="shared" si="33"/>
        <v>6209</v>
      </c>
      <c r="AG98">
        <f t="shared" si="34"/>
        <v>6266</v>
      </c>
      <c r="AH98">
        <f t="shared" si="35"/>
        <v>6469</v>
      </c>
      <c r="AI98">
        <f t="shared" si="36"/>
        <v>6699</v>
      </c>
      <c r="AJ98">
        <f t="shared" si="37"/>
        <v>6789</v>
      </c>
      <c r="AK98">
        <f t="shared" si="38"/>
        <v>6836</v>
      </c>
      <c r="AL98">
        <f t="shared" si="39"/>
        <v>6909</v>
      </c>
      <c r="AM98">
        <f t="shared" si="40"/>
        <v>7043</v>
      </c>
      <c r="AN98">
        <f t="shared" si="41"/>
        <v>7188</v>
      </c>
      <c r="AO98">
        <f t="shared" si="42"/>
        <v>7539</v>
      </c>
      <c r="AP98">
        <f t="shared" si="43"/>
        <v>7552</v>
      </c>
      <c r="AQ98">
        <f t="shared" si="44"/>
        <v>7671</v>
      </c>
      <c r="AR98">
        <f t="shared" si="45"/>
        <v>7699</v>
      </c>
      <c r="AX98">
        <v>96</v>
      </c>
      <c r="AY98">
        <v>7866</v>
      </c>
      <c r="AZ98">
        <f t="shared" si="23"/>
        <v>248.38736333587593</v>
      </c>
      <c r="BA98">
        <f t="shared" si="24"/>
        <v>3.972802763687929E-3</v>
      </c>
      <c r="BB98">
        <f t="shared" si="25"/>
        <v>0.38662042648082956</v>
      </c>
      <c r="BD98">
        <v>0.43527681000000001</v>
      </c>
      <c r="BE98">
        <v>61</v>
      </c>
      <c r="BF98">
        <v>7777</v>
      </c>
      <c r="BG98" s="5">
        <v>96</v>
      </c>
      <c r="BH98">
        <v>7826</v>
      </c>
      <c r="BI98" s="2">
        <v>1.840717E-2</v>
      </c>
      <c r="BJ98">
        <v>7866</v>
      </c>
      <c r="BK98" s="5">
        <v>2</v>
      </c>
      <c r="BL98">
        <v>7695</v>
      </c>
      <c r="BN98">
        <v>82</v>
      </c>
      <c r="BP98">
        <v>82</v>
      </c>
      <c r="BR98">
        <v>82</v>
      </c>
      <c r="BT98">
        <v>24</v>
      </c>
      <c r="BV98">
        <v>24</v>
      </c>
      <c r="BX98">
        <v>24</v>
      </c>
    </row>
    <row r="99" spans="1:76" x14ac:dyDescent="0.25">
      <c r="A99">
        <v>97</v>
      </c>
      <c r="B99">
        <v>79</v>
      </c>
      <c r="C99">
        <v>20</v>
      </c>
      <c r="D99">
        <v>2</v>
      </c>
      <c r="E99">
        <v>23</v>
      </c>
      <c r="F99">
        <v>94</v>
      </c>
      <c r="G99">
        <v>58</v>
      </c>
      <c r="H99">
        <v>91</v>
      </c>
      <c r="I99">
        <v>12</v>
      </c>
      <c r="J99">
        <v>91</v>
      </c>
      <c r="K99">
        <v>92</v>
      </c>
      <c r="L99">
        <v>25</v>
      </c>
      <c r="M99">
        <v>81</v>
      </c>
      <c r="N99">
        <v>6</v>
      </c>
      <c r="O99">
        <v>87</v>
      </c>
      <c r="P99">
        <v>50</v>
      </c>
      <c r="Q99">
        <v>80</v>
      </c>
      <c r="R99">
        <v>73</v>
      </c>
      <c r="S99">
        <v>34</v>
      </c>
      <c r="T99">
        <v>57</v>
      </c>
      <c r="U99">
        <v>65</v>
      </c>
      <c r="X99">
        <v>97</v>
      </c>
      <c r="Y99">
        <f t="shared" si="26"/>
        <v>4932</v>
      </c>
      <c r="Z99">
        <f t="shared" si="27"/>
        <v>5362</v>
      </c>
      <c r="AA99">
        <f t="shared" si="28"/>
        <v>5364</v>
      </c>
      <c r="AB99">
        <f t="shared" si="29"/>
        <v>5461</v>
      </c>
      <c r="AC99">
        <f t="shared" si="30"/>
        <v>5607</v>
      </c>
      <c r="AD99">
        <f t="shared" si="31"/>
        <v>5834</v>
      </c>
      <c r="AE99">
        <f t="shared" si="32"/>
        <v>5996</v>
      </c>
      <c r="AF99">
        <f t="shared" si="33"/>
        <v>6221</v>
      </c>
      <c r="AG99">
        <f t="shared" si="34"/>
        <v>6357</v>
      </c>
      <c r="AH99">
        <f t="shared" si="35"/>
        <v>6561</v>
      </c>
      <c r="AI99">
        <f t="shared" si="36"/>
        <v>6724</v>
      </c>
      <c r="AJ99">
        <f t="shared" si="37"/>
        <v>6870</v>
      </c>
      <c r="AK99">
        <f t="shared" si="38"/>
        <v>6876</v>
      </c>
      <c r="AL99">
        <f t="shared" si="39"/>
        <v>6996</v>
      </c>
      <c r="AM99">
        <f t="shared" si="40"/>
        <v>7093</v>
      </c>
      <c r="AN99">
        <f t="shared" si="41"/>
        <v>7268</v>
      </c>
      <c r="AO99">
        <f t="shared" si="42"/>
        <v>7612</v>
      </c>
      <c r="AP99">
        <f t="shared" si="43"/>
        <v>7646</v>
      </c>
      <c r="AQ99">
        <f t="shared" si="44"/>
        <v>7728</v>
      </c>
      <c r="AR99">
        <f t="shared" si="45"/>
        <v>7793</v>
      </c>
      <c r="AX99">
        <v>97</v>
      </c>
      <c r="AY99">
        <v>7867</v>
      </c>
      <c r="AZ99">
        <f t="shared" si="23"/>
        <v>248.35579000889794</v>
      </c>
      <c r="BA99">
        <f t="shared" si="24"/>
        <v>3.9722977677855917E-3</v>
      </c>
      <c r="BB99">
        <f t="shared" si="25"/>
        <v>0.39059272424861513</v>
      </c>
      <c r="BD99">
        <v>0.85461211000000004</v>
      </c>
      <c r="BE99">
        <v>18</v>
      </c>
      <c r="BF99">
        <v>7695</v>
      </c>
      <c r="BG99" s="5">
        <v>97</v>
      </c>
      <c r="BH99">
        <v>7867</v>
      </c>
      <c r="BI99" s="1">
        <v>0.56537426000000002</v>
      </c>
      <c r="BJ99">
        <v>7867</v>
      </c>
      <c r="BK99" s="5">
        <v>1</v>
      </c>
      <c r="BL99">
        <v>7696</v>
      </c>
      <c r="BN99">
        <v>96</v>
      </c>
      <c r="BP99">
        <v>96</v>
      </c>
      <c r="BR99">
        <v>96</v>
      </c>
      <c r="BT99">
        <v>53</v>
      </c>
      <c r="BV99">
        <v>53</v>
      </c>
      <c r="BX99">
        <v>97</v>
      </c>
    </row>
    <row r="100" spans="1:76" x14ac:dyDescent="0.25">
      <c r="A100">
        <v>98</v>
      </c>
      <c r="B100">
        <v>71</v>
      </c>
      <c r="C100">
        <v>31</v>
      </c>
      <c r="D100">
        <v>19</v>
      </c>
      <c r="E100">
        <v>72</v>
      </c>
      <c r="F100">
        <v>16</v>
      </c>
      <c r="G100">
        <v>93</v>
      </c>
      <c r="H100">
        <v>73</v>
      </c>
      <c r="I100">
        <v>88</v>
      </c>
      <c r="J100">
        <v>95</v>
      </c>
      <c r="K100">
        <v>17</v>
      </c>
      <c r="L100">
        <v>16</v>
      </c>
      <c r="M100">
        <v>94</v>
      </c>
      <c r="N100">
        <v>95</v>
      </c>
      <c r="O100">
        <v>29</v>
      </c>
      <c r="P100">
        <v>9</v>
      </c>
      <c r="Q100">
        <v>30</v>
      </c>
      <c r="R100">
        <v>54</v>
      </c>
      <c r="S100">
        <v>12</v>
      </c>
      <c r="T100">
        <v>7</v>
      </c>
      <c r="U100">
        <v>4</v>
      </c>
      <c r="X100">
        <v>98</v>
      </c>
      <c r="Y100">
        <f t="shared" si="26"/>
        <v>5003</v>
      </c>
      <c r="Z100">
        <f t="shared" si="27"/>
        <v>5393</v>
      </c>
      <c r="AA100">
        <f t="shared" si="28"/>
        <v>5412</v>
      </c>
      <c r="AB100">
        <f t="shared" si="29"/>
        <v>5533</v>
      </c>
      <c r="AC100">
        <f t="shared" si="30"/>
        <v>5623</v>
      </c>
      <c r="AD100">
        <f t="shared" si="31"/>
        <v>5927</v>
      </c>
      <c r="AE100">
        <f t="shared" si="32"/>
        <v>6069</v>
      </c>
      <c r="AF100">
        <f t="shared" si="33"/>
        <v>6309</v>
      </c>
      <c r="AG100">
        <f t="shared" si="34"/>
        <v>6452</v>
      </c>
      <c r="AH100">
        <f t="shared" si="35"/>
        <v>6578</v>
      </c>
      <c r="AI100">
        <f t="shared" si="36"/>
        <v>6740</v>
      </c>
      <c r="AJ100">
        <f t="shared" si="37"/>
        <v>6964</v>
      </c>
      <c r="AK100">
        <f t="shared" si="38"/>
        <v>7059</v>
      </c>
      <c r="AL100">
        <f t="shared" si="39"/>
        <v>7088</v>
      </c>
      <c r="AM100">
        <f t="shared" si="40"/>
        <v>7102</v>
      </c>
      <c r="AN100">
        <f t="shared" si="41"/>
        <v>7298</v>
      </c>
      <c r="AO100">
        <f t="shared" si="42"/>
        <v>7666</v>
      </c>
      <c r="AP100">
        <f t="shared" si="43"/>
        <v>7678</v>
      </c>
      <c r="AQ100">
        <f t="shared" si="44"/>
        <v>7735</v>
      </c>
      <c r="AR100">
        <f t="shared" si="45"/>
        <v>7797</v>
      </c>
      <c r="AX100">
        <v>98</v>
      </c>
      <c r="AY100">
        <v>7841</v>
      </c>
      <c r="AZ100">
        <f t="shared" si="23"/>
        <v>249.17931386302769</v>
      </c>
      <c r="BA100">
        <f t="shared" si="24"/>
        <v>3.9854695241894212E-3</v>
      </c>
      <c r="BB100">
        <f t="shared" si="25"/>
        <v>0.39457819377280456</v>
      </c>
      <c r="BD100">
        <v>0.70982641000000002</v>
      </c>
      <c r="BE100">
        <v>173</v>
      </c>
      <c r="BF100">
        <v>7573</v>
      </c>
      <c r="BG100" s="5">
        <v>98</v>
      </c>
      <c r="BH100">
        <v>7920</v>
      </c>
      <c r="BI100" s="2">
        <v>1.49018E-3</v>
      </c>
      <c r="BJ100">
        <v>7841</v>
      </c>
      <c r="BK100" s="5">
        <v>51</v>
      </c>
      <c r="BL100">
        <v>7698</v>
      </c>
      <c r="BN100">
        <v>60</v>
      </c>
      <c r="BP100">
        <v>60</v>
      </c>
      <c r="BR100">
        <v>60</v>
      </c>
      <c r="BT100">
        <v>91</v>
      </c>
      <c r="BV100">
        <v>91</v>
      </c>
      <c r="BX100">
        <v>98</v>
      </c>
    </row>
    <row r="101" spans="1:76" x14ac:dyDescent="0.25">
      <c r="A101">
        <v>99</v>
      </c>
      <c r="B101">
        <v>97</v>
      </c>
      <c r="C101">
        <v>94</v>
      </c>
      <c r="D101">
        <v>22</v>
      </c>
      <c r="E101">
        <v>7</v>
      </c>
      <c r="F101">
        <v>45</v>
      </c>
      <c r="G101">
        <v>61</v>
      </c>
      <c r="H101">
        <v>47</v>
      </c>
      <c r="I101">
        <v>9</v>
      </c>
      <c r="J101">
        <v>81</v>
      </c>
      <c r="K101">
        <v>93</v>
      </c>
      <c r="L101">
        <v>37</v>
      </c>
      <c r="M101">
        <v>50</v>
      </c>
      <c r="N101">
        <v>48</v>
      </c>
      <c r="O101">
        <v>51</v>
      </c>
      <c r="P101">
        <v>52</v>
      </c>
      <c r="Q101">
        <v>29</v>
      </c>
      <c r="R101">
        <v>38</v>
      </c>
      <c r="S101">
        <v>28</v>
      </c>
      <c r="T101">
        <v>81</v>
      </c>
      <c r="U101">
        <v>85</v>
      </c>
      <c r="X101">
        <v>99</v>
      </c>
      <c r="Y101">
        <f t="shared" si="26"/>
        <v>5100</v>
      </c>
      <c r="Z101">
        <f t="shared" si="27"/>
        <v>5487</v>
      </c>
      <c r="AA101">
        <f t="shared" si="28"/>
        <v>5509</v>
      </c>
      <c r="AB101">
        <f t="shared" si="29"/>
        <v>5540</v>
      </c>
      <c r="AC101">
        <f t="shared" si="30"/>
        <v>5668</v>
      </c>
      <c r="AD101">
        <f t="shared" si="31"/>
        <v>5988</v>
      </c>
      <c r="AE101">
        <f t="shared" si="32"/>
        <v>6116</v>
      </c>
      <c r="AF101">
        <f t="shared" si="33"/>
        <v>6318</v>
      </c>
      <c r="AG101">
        <f t="shared" si="34"/>
        <v>6533</v>
      </c>
      <c r="AH101">
        <f t="shared" si="35"/>
        <v>6671</v>
      </c>
      <c r="AI101">
        <f t="shared" si="36"/>
        <v>6777</v>
      </c>
      <c r="AJ101">
        <f t="shared" si="37"/>
        <v>7014</v>
      </c>
      <c r="AK101">
        <f t="shared" si="38"/>
        <v>7107</v>
      </c>
      <c r="AL101">
        <f t="shared" si="39"/>
        <v>7158</v>
      </c>
      <c r="AM101">
        <f t="shared" si="40"/>
        <v>7210</v>
      </c>
      <c r="AN101">
        <f t="shared" si="41"/>
        <v>7327</v>
      </c>
      <c r="AO101">
        <f t="shared" si="42"/>
        <v>7704</v>
      </c>
      <c r="AP101">
        <f t="shared" si="43"/>
        <v>7732</v>
      </c>
      <c r="AQ101">
        <f t="shared" si="44"/>
        <v>7816</v>
      </c>
      <c r="AR101">
        <f t="shared" si="45"/>
        <v>7901</v>
      </c>
      <c r="AX101">
        <v>99</v>
      </c>
      <c r="AY101">
        <v>7917</v>
      </c>
      <c r="AZ101">
        <f t="shared" si="23"/>
        <v>246.78729316660352</v>
      </c>
      <c r="BA101">
        <f t="shared" si="24"/>
        <v>3.9472106276581091E-3</v>
      </c>
      <c r="BB101">
        <f t="shared" si="25"/>
        <v>0.39852540440046269</v>
      </c>
      <c r="BD101">
        <v>0.74202287</v>
      </c>
      <c r="BE101">
        <v>114</v>
      </c>
      <c r="BF101">
        <v>7692</v>
      </c>
      <c r="BG101" s="5">
        <v>99</v>
      </c>
      <c r="BH101">
        <v>7917</v>
      </c>
      <c r="BI101" s="1">
        <v>0.93790448000000004</v>
      </c>
      <c r="BJ101">
        <v>7917</v>
      </c>
      <c r="BK101" s="5">
        <v>226</v>
      </c>
      <c r="BL101">
        <v>7699</v>
      </c>
      <c r="BN101">
        <v>98</v>
      </c>
      <c r="BP101">
        <v>98</v>
      </c>
      <c r="BR101">
        <v>98</v>
      </c>
      <c r="BT101">
        <v>85</v>
      </c>
      <c r="BV101">
        <v>85</v>
      </c>
      <c r="BX101">
        <v>8</v>
      </c>
    </row>
    <row r="102" spans="1:76" x14ac:dyDescent="0.25">
      <c r="A102">
        <v>100</v>
      </c>
      <c r="B102">
        <v>76</v>
      </c>
      <c r="C102">
        <v>45</v>
      </c>
      <c r="D102">
        <v>42</v>
      </c>
      <c r="E102">
        <v>75</v>
      </c>
      <c r="F102">
        <v>30</v>
      </c>
      <c r="G102">
        <v>68</v>
      </c>
      <c r="H102">
        <v>58</v>
      </c>
      <c r="I102">
        <v>99</v>
      </c>
      <c r="J102">
        <v>98</v>
      </c>
      <c r="K102">
        <v>55</v>
      </c>
      <c r="L102">
        <v>58</v>
      </c>
      <c r="M102">
        <v>33</v>
      </c>
      <c r="N102">
        <v>44</v>
      </c>
      <c r="O102">
        <v>70</v>
      </c>
      <c r="P102">
        <v>99</v>
      </c>
      <c r="Q102">
        <v>48</v>
      </c>
      <c r="R102">
        <v>36</v>
      </c>
      <c r="S102">
        <v>57</v>
      </c>
      <c r="T102">
        <v>73</v>
      </c>
      <c r="U102">
        <v>6</v>
      </c>
      <c r="X102">
        <v>100</v>
      </c>
      <c r="Y102">
        <f t="shared" si="26"/>
        <v>5176</v>
      </c>
      <c r="Z102">
        <f t="shared" si="27"/>
        <v>5532</v>
      </c>
      <c r="AA102">
        <f t="shared" si="28"/>
        <v>5574</v>
      </c>
      <c r="AB102">
        <f t="shared" si="29"/>
        <v>5649</v>
      </c>
      <c r="AC102">
        <f t="shared" si="30"/>
        <v>5698</v>
      </c>
      <c r="AD102">
        <f t="shared" si="31"/>
        <v>6056</v>
      </c>
      <c r="AE102">
        <f t="shared" si="32"/>
        <v>6174</v>
      </c>
      <c r="AF102">
        <f t="shared" si="33"/>
        <v>6417</v>
      </c>
      <c r="AG102">
        <f t="shared" si="34"/>
        <v>6631</v>
      </c>
      <c r="AH102">
        <f t="shared" si="35"/>
        <v>6726</v>
      </c>
      <c r="AI102">
        <f t="shared" si="36"/>
        <v>6835</v>
      </c>
      <c r="AJ102">
        <f t="shared" si="37"/>
        <v>7047</v>
      </c>
      <c r="AK102">
        <f t="shared" si="38"/>
        <v>7151</v>
      </c>
      <c r="AL102">
        <f t="shared" si="39"/>
        <v>7228</v>
      </c>
      <c r="AM102">
        <f t="shared" si="40"/>
        <v>7327</v>
      </c>
      <c r="AN102">
        <f t="shared" si="41"/>
        <v>7375</v>
      </c>
      <c r="AO102">
        <f t="shared" si="42"/>
        <v>7740</v>
      </c>
      <c r="AP102">
        <f t="shared" si="43"/>
        <v>7797</v>
      </c>
      <c r="AQ102">
        <f t="shared" si="44"/>
        <v>7889</v>
      </c>
      <c r="AR102">
        <f>MAX(AQ102,AR101)+VLOOKUP($X102,$A$3:$U$102,21, FALSE)</f>
        <v>7907</v>
      </c>
      <c r="AX102">
        <v>100</v>
      </c>
      <c r="AY102">
        <v>7604</v>
      </c>
      <c r="AZ102">
        <f t="shared" si="23"/>
        <v>256.94568648079957</v>
      </c>
      <c r="BA102">
        <f t="shared" si="24"/>
        <v>4.1096878668028993E-3</v>
      </c>
      <c r="BB102">
        <f t="shared" si="25"/>
        <v>0.40263509226726557</v>
      </c>
      <c r="BD102">
        <v>3.941542E-2</v>
      </c>
      <c r="BE102">
        <v>74</v>
      </c>
      <c r="BF102">
        <v>7591</v>
      </c>
      <c r="BG102" s="5">
        <v>100</v>
      </c>
      <c r="BH102">
        <v>7604</v>
      </c>
      <c r="BI102" s="1">
        <v>0.46812802999999997</v>
      </c>
      <c r="BJ102">
        <v>7604</v>
      </c>
      <c r="BK102" s="5">
        <v>11</v>
      </c>
      <c r="BL102">
        <v>7704</v>
      </c>
      <c r="BN102">
        <v>11</v>
      </c>
      <c r="BP102">
        <v>11</v>
      </c>
      <c r="BR102">
        <v>11</v>
      </c>
      <c r="BT102">
        <v>12</v>
      </c>
      <c r="BV102">
        <v>12</v>
      </c>
      <c r="BX102">
        <v>66</v>
      </c>
    </row>
    <row r="103" spans="1:76" x14ac:dyDescent="0.25">
      <c r="AX103">
        <v>101</v>
      </c>
      <c r="AY103">
        <v>7842</v>
      </c>
      <c r="AZ103">
        <f t="shared" si="23"/>
        <v>249.14753889313951</v>
      </c>
      <c r="BA103">
        <f t="shared" si="24"/>
        <v>3.9849613031330338E-3</v>
      </c>
      <c r="BB103">
        <f t="shared" ref="BB103:BB166" si="46">BB102+BA103</f>
        <v>0.4066200535703986</v>
      </c>
      <c r="BD103">
        <v>0.40279197999999999</v>
      </c>
      <c r="BE103">
        <v>122</v>
      </c>
      <c r="BF103">
        <v>7826</v>
      </c>
      <c r="BG103" s="5">
        <v>101</v>
      </c>
      <c r="BH103">
        <v>7812</v>
      </c>
      <c r="BI103" s="1">
        <v>0.81758189000000003</v>
      </c>
      <c r="BJ103">
        <v>7812</v>
      </c>
      <c r="BK103" s="5">
        <v>89</v>
      </c>
      <c r="BL103">
        <v>7704</v>
      </c>
    </row>
    <row r="104" spans="1:76" x14ac:dyDescent="0.25">
      <c r="AX104">
        <v>102</v>
      </c>
      <c r="AY104">
        <v>7916</v>
      </c>
      <c r="AZ104">
        <f t="shared" si="23"/>
        <v>246.81846892369884</v>
      </c>
      <c r="BA104">
        <f t="shared" si="24"/>
        <v>3.9477092646752459E-3</v>
      </c>
      <c r="BB104">
        <f t="shared" si="46"/>
        <v>0.41056776283507385</v>
      </c>
      <c r="BD104">
        <v>0.23349971</v>
      </c>
      <c r="BE104">
        <v>179</v>
      </c>
      <c r="BF104">
        <v>7612</v>
      </c>
      <c r="BG104" s="5">
        <v>102</v>
      </c>
      <c r="BH104">
        <v>7763</v>
      </c>
      <c r="BI104" s="1">
        <v>0.63634676000000001</v>
      </c>
      <c r="BJ104">
        <v>7763</v>
      </c>
      <c r="BK104" s="5">
        <v>67</v>
      </c>
      <c r="BL104">
        <v>7705</v>
      </c>
    </row>
    <row r="105" spans="1:76" x14ac:dyDescent="0.25">
      <c r="AX105">
        <v>103</v>
      </c>
      <c r="AY105">
        <v>7732</v>
      </c>
      <c r="AZ105">
        <f t="shared" si="23"/>
        <v>252.69205897568546</v>
      </c>
      <c r="BA105">
        <f t="shared" si="24"/>
        <v>4.0416537169127324E-3</v>
      </c>
      <c r="BB105">
        <f t="shared" si="46"/>
        <v>0.41460941655198658</v>
      </c>
      <c r="BD105">
        <v>0.91636430999999996</v>
      </c>
      <c r="BE105">
        <v>99</v>
      </c>
      <c r="BF105">
        <v>7618</v>
      </c>
      <c r="BG105" s="5">
        <v>103</v>
      </c>
      <c r="BH105">
        <v>7797</v>
      </c>
      <c r="BI105" s="1">
        <v>0.51617276999999995</v>
      </c>
      <c r="BJ105">
        <v>7797</v>
      </c>
      <c r="BK105" s="5">
        <v>234</v>
      </c>
      <c r="BL105">
        <v>7706</v>
      </c>
    </row>
    <row r="106" spans="1:76" x14ac:dyDescent="0.25">
      <c r="AX106">
        <v>104</v>
      </c>
      <c r="AY106">
        <v>7860</v>
      </c>
      <c r="AZ106">
        <f t="shared" si="23"/>
        <v>248.57697201017811</v>
      </c>
      <c r="BA106">
        <f t="shared" si="24"/>
        <v>3.9758354375533395E-3</v>
      </c>
      <c r="BB106">
        <f t="shared" si="46"/>
        <v>0.41858525198953994</v>
      </c>
      <c r="BD106">
        <v>0.53030710999999997</v>
      </c>
      <c r="BE106">
        <v>55</v>
      </c>
      <c r="BF106">
        <v>7728</v>
      </c>
      <c r="BG106" s="5">
        <v>104</v>
      </c>
      <c r="BH106">
        <v>8016</v>
      </c>
      <c r="BI106" s="1">
        <v>5.5832920000000001E-2</v>
      </c>
      <c r="BJ106">
        <v>8016</v>
      </c>
      <c r="BK106" s="5">
        <v>200</v>
      </c>
      <c r="BL106">
        <v>7708</v>
      </c>
    </row>
    <row r="107" spans="1:76" x14ac:dyDescent="0.25">
      <c r="AX107">
        <v>105</v>
      </c>
      <c r="AY107">
        <v>8019</v>
      </c>
      <c r="AZ107">
        <f t="shared" si="23"/>
        <v>243.64821050006236</v>
      </c>
      <c r="BA107">
        <f t="shared" si="24"/>
        <v>3.8970029354245227E-3</v>
      </c>
      <c r="BB107">
        <f t="shared" si="46"/>
        <v>0.42248225492496444</v>
      </c>
      <c r="BD107">
        <v>0.13836883999999999</v>
      </c>
      <c r="BE107">
        <v>216</v>
      </c>
      <c r="BF107">
        <v>7984</v>
      </c>
      <c r="BG107" s="5">
        <v>105</v>
      </c>
      <c r="BH107">
        <v>7520</v>
      </c>
      <c r="BI107" s="1">
        <v>0.33693790000000001</v>
      </c>
      <c r="BJ107">
        <v>7520</v>
      </c>
      <c r="BK107" s="5">
        <v>26</v>
      </c>
      <c r="BL107">
        <v>7710</v>
      </c>
    </row>
    <row r="108" spans="1:76" x14ac:dyDescent="0.25">
      <c r="AX108">
        <v>106</v>
      </c>
      <c r="AY108">
        <v>7938</v>
      </c>
      <c r="AZ108">
        <f t="shared" si="23"/>
        <v>246.13441672965482</v>
      </c>
      <c r="BA108">
        <f t="shared" si="24"/>
        <v>3.9367682715002825E-3</v>
      </c>
      <c r="BB108">
        <f t="shared" si="46"/>
        <v>0.42641902319646474</v>
      </c>
      <c r="BD108">
        <v>0.65201324000000005</v>
      </c>
      <c r="BE108">
        <v>219</v>
      </c>
      <c r="BF108">
        <v>7718</v>
      </c>
      <c r="BG108" s="5">
        <v>106</v>
      </c>
      <c r="BH108">
        <v>8006</v>
      </c>
      <c r="BI108" s="1">
        <v>0.48086661000000003</v>
      </c>
      <c r="BJ108">
        <v>8006</v>
      </c>
      <c r="BK108" s="5">
        <v>129</v>
      </c>
      <c r="BL108">
        <v>7710</v>
      </c>
    </row>
    <row r="109" spans="1:76" x14ac:dyDescent="0.25">
      <c r="AX109">
        <v>107</v>
      </c>
      <c r="AY109">
        <v>7939</v>
      </c>
      <c r="AZ109">
        <f t="shared" si="23"/>
        <v>246.10341352815217</v>
      </c>
      <c r="BA109">
        <f t="shared" si="24"/>
        <v>3.9362723944034823E-3</v>
      </c>
      <c r="BB109">
        <f t="shared" si="46"/>
        <v>0.43035529559086821</v>
      </c>
      <c r="BD109">
        <v>3.5091280000000002E-2</v>
      </c>
      <c r="BE109">
        <v>133</v>
      </c>
      <c r="BF109">
        <v>7595</v>
      </c>
      <c r="BG109" s="5">
        <v>107</v>
      </c>
      <c r="BH109">
        <v>7734</v>
      </c>
      <c r="BI109" s="2">
        <v>2.4849530000000002E-2</v>
      </c>
      <c r="BJ109">
        <v>7748</v>
      </c>
      <c r="BK109" s="5">
        <v>24</v>
      </c>
      <c r="BL109">
        <v>7712</v>
      </c>
    </row>
    <row r="110" spans="1:76" x14ac:dyDescent="0.25">
      <c r="AX110">
        <v>108</v>
      </c>
      <c r="AY110">
        <v>8171</v>
      </c>
      <c r="AZ110">
        <f t="shared" si="23"/>
        <v>239.11577530290049</v>
      </c>
      <c r="BA110">
        <f t="shared" si="24"/>
        <v>3.8245094283648568E-3</v>
      </c>
      <c r="BB110">
        <f t="shared" si="46"/>
        <v>0.43417980501923309</v>
      </c>
      <c r="BD110">
        <v>0.30132346999999998</v>
      </c>
      <c r="BE110">
        <v>65</v>
      </c>
      <c r="BF110">
        <v>7568</v>
      </c>
      <c r="BG110" s="5">
        <v>108</v>
      </c>
      <c r="BH110">
        <v>7626</v>
      </c>
      <c r="BI110" s="1">
        <v>0.82545131000000005</v>
      </c>
      <c r="BJ110">
        <v>7626</v>
      </c>
      <c r="BK110" s="5">
        <v>212</v>
      </c>
      <c r="BL110">
        <v>7716</v>
      </c>
    </row>
    <row r="111" spans="1:76" x14ac:dyDescent="0.25">
      <c r="AX111">
        <v>109</v>
      </c>
      <c r="AY111">
        <v>7949</v>
      </c>
      <c r="AZ111">
        <f t="shared" si="23"/>
        <v>245.79381054220656</v>
      </c>
      <c r="BA111">
        <f t="shared" si="24"/>
        <v>3.9313204854911623E-3</v>
      </c>
      <c r="BB111">
        <f t="shared" si="46"/>
        <v>0.43811112550472425</v>
      </c>
      <c r="BD111">
        <v>0.69372796999999997</v>
      </c>
      <c r="BE111">
        <v>87</v>
      </c>
      <c r="BF111">
        <v>7727</v>
      </c>
      <c r="BG111" s="5">
        <v>109</v>
      </c>
      <c r="BH111">
        <v>7656</v>
      </c>
      <c r="BI111" s="1">
        <v>0.41223799999999999</v>
      </c>
      <c r="BJ111">
        <v>7656</v>
      </c>
      <c r="BK111" s="5">
        <v>120</v>
      </c>
      <c r="BL111">
        <v>7716</v>
      </c>
    </row>
    <row r="112" spans="1:76" x14ac:dyDescent="0.25">
      <c r="AX112">
        <v>110</v>
      </c>
      <c r="AY112">
        <v>7972</v>
      </c>
      <c r="AZ112">
        <f t="shared" si="23"/>
        <v>245.08467134972403</v>
      </c>
      <c r="BA112">
        <f t="shared" si="24"/>
        <v>3.9199782412404974E-3</v>
      </c>
      <c r="BB112">
        <f t="shared" si="46"/>
        <v>0.44203110374596477</v>
      </c>
      <c r="BD112">
        <v>0.63071126</v>
      </c>
      <c r="BE112">
        <v>139</v>
      </c>
      <c r="BF112">
        <v>7696</v>
      </c>
      <c r="BG112" s="5">
        <v>110</v>
      </c>
      <c r="BH112">
        <v>7598</v>
      </c>
      <c r="BI112" s="1">
        <v>0.47750049999999999</v>
      </c>
      <c r="BJ112">
        <v>7598</v>
      </c>
      <c r="BK112" s="5">
        <v>233</v>
      </c>
      <c r="BL112">
        <v>7725</v>
      </c>
    </row>
    <row r="113" spans="50:64" x14ac:dyDescent="0.25">
      <c r="AX113">
        <v>111</v>
      </c>
      <c r="AY113">
        <v>8018</v>
      </c>
      <c r="AZ113">
        <f t="shared" si="23"/>
        <v>243.67859815415315</v>
      </c>
      <c r="BA113">
        <f t="shared" si="24"/>
        <v>3.8974889672199111E-3</v>
      </c>
      <c r="BB113">
        <f t="shared" si="46"/>
        <v>0.44592859271318469</v>
      </c>
      <c r="BD113">
        <v>0.41467105999999998</v>
      </c>
      <c r="BE113">
        <v>141</v>
      </c>
      <c r="BF113">
        <v>7678</v>
      </c>
      <c r="BG113" s="5">
        <v>111</v>
      </c>
      <c r="BH113">
        <v>7588</v>
      </c>
      <c r="BI113" s="1">
        <v>0.24234533</v>
      </c>
      <c r="BJ113">
        <v>7588</v>
      </c>
      <c r="BK113" s="5">
        <v>172</v>
      </c>
      <c r="BL113">
        <v>7727</v>
      </c>
    </row>
    <row r="114" spans="50:64" x14ac:dyDescent="0.25">
      <c r="AX114">
        <v>112</v>
      </c>
      <c r="AY114">
        <v>7790</v>
      </c>
      <c r="AZ114">
        <f t="shared" si="23"/>
        <v>250.81065468549423</v>
      </c>
      <c r="BA114">
        <f t="shared" si="24"/>
        <v>4.011561815040982E-3</v>
      </c>
      <c r="BB114">
        <f t="shared" si="46"/>
        <v>0.44994015452822567</v>
      </c>
      <c r="BD114">
        <v>0.46556264000000003</v>
      </c>
      <c r="BE114">
        <v>103</v>
      </c>
      <c r="BF114">
        <v>7732</v>
      </c>
      <c r="BG114" s="5">
        <v>112</v>
      </c>
      <c r="BH114">
        <v>7908</v>
      </c>
      <c r="BI114" s="1">
        <v>0.75341385999999999</v>
      </c>
      <c r="BJ114">
        <v>7908</v>
      </c>
      <c r="BK114" s="5">
        <v>35</v>
      </c>
      <c r="BL114">
        <v>7728</v>
      </c>
    </row>
    <row r="115" spans="50:64" x14ac:dyDescent="0.25">
      <c r="AX115">
        <v>113</v>
      </c>
      <c r="AY115">
        <v>7806</v>
      </c>
      <c r="AZ115">
        <f t="shared" si="23"/>
        <v>250.2965667435306</v>
      </c>
      <c r="BA115">
        <f t="shared" si="24"/>
        <v>4.0033392953073592E-3</v>
      </c>
      <c r="BB115">
        <f t="shared" si="46"/>
        <v>0.45394349382353305</v>
      </c>
      <c r="BD115">
        <v>0.54207492000000002</v>
      </c>
      <c r="BE115">
        <v>57</v>
      </c>
      <c r="BF115">
        <v>7408</v>
      </c>
      <c r="BG115" s="5">
        <v>113</v>
      </c>
      <c r="BH115">
        <v>7470</v>
      </c>
      <c r="BI115" s="1">
        <v>0.74089921000000003</v>
      </c>
      <c r="BJ115">
        <v>7470</v>
      </c>
      <c r="BK115" s="5">
        <v>28</v>
      </c>
      <c r="BL115">
        <v>7729</v>
      </c>
    </row>
    <row r="116" spans="50:64" x14ac:dyDescent="0.25">
      <c r="AX116">
        <v>114</v>
      </c>
      <c r="AY116">
        <v>7692</v>
      </c>
      <c r="AZ116">
        <f t="shared" si="23"/>
        <v>254.00611024440977</v>
      </c>
      <c r="BA116">
        <f t="shared" si="24"/>
        <v>4.0626711569382795E-3</v>
      </c>
      <c r="BB116">
        <f t="shared" si="46"/>
        <v>0.45800616498047131</v>
      </c>
      <c r="BD116">
        <v>0.31247704999999998</v>
      </c>
      <c r="BE116">
        <v>103</v>
      </c>
      <c r="BF116">
        <v>7732</v>
      </c>
      <c r="BG116" s="5">
        <v>114</v>
      </c>
      <c r="BH116">
        <v>7815</v>
      </c>
      <c r="BI116" s="1">
        <v>0.40387040000000002</v>
      </c>
      <c r="BJ116">
        <v>7815</v>
      </c>
      <c r="BK116" s="5">
        <v>202</v>
      </c>
      <c r="BL116">
        <v>7730</v>
      </c>
    </row>
    <row r="117" spans="50:64" x14ac:dyDescent="0.25">
      <c r="AX117">
        <v>115</v>
      </c>
      <c r="AY117">
        <v>7881</v>
      </c>
      <c r="AZ117">
        <f t="shared" si="23"/>
        <v>247.91460474559065</v>
      </c>
      <c r="BA117">
        <f t="shared" si="24"/>
        <v>3.965241281457841E-3</v>
      </c>
      <c r="BB117">
        <f t="shared" si="46"/>
        <v>0.46197140626192917</v>
      </c>
      <c r="BD117">
        <v>0.93895375999999997</v>
      </c>
      <c r="BE117">
        <v>19</v>
      </c>
      <c r="BF117">
        <v>7873</v>
      </c>
      <c r="BG117" s="5">
        <v>115</v>
      </c>
      <c r="BH117">
        <v>7935</v>
      </c>
      <c r="BI117" s="1">
        <v>0.97617507000000003</v>
      </c>
      <c r="BJ117">
        <v>7935</v>
      </c>
      <c r="BK117" s="5">
        <v>113</v>
      </c>
      <c r="BL117">
        <v>7730</v>
      </c>
    </row>
    <row r="118" spans="50:64" x14ac:dyDescent="0.25">
      <c r="AX118">
        <v>116</v>
      </c>
      <c r="AY118">
        <v>7730</v>
      </c>
      <c r="AZ118">
        <f t="shared" si="23"/>
        <v>252.75743855109963</v>
      </c>
      <c r="BA118">
        <f t="shared" si="24"/>
        <v>4.0426994229196961E-3</v>
      </c>
      <c r="BB118">
        <f t="shared" si="46"/>
        <v>0.46601410568484886</v>
      </c>
      <c r="BD118">
        <v>0.43397433000000002</v>
      </c>
      <c r="BE118">
        <v>63</v>
      </c>
      <c r="BF118">
        <v>7512</v>
      </c>
      <c r="BG118" s="5">
        <v>116</v>
      </c>
      <c r="BH118">
        <v>7579</v>
      </c>
      <c r="BI118" s="1">
        <v>0.26310629000000002</v>
      </c>
      <c r="BJ118">
        <v>7579</v>
      </c>
      <c r="BK118" s="5">
        <v>44</v>
      </c>
      <c r="BL118">
        <v>7731</v>
      </c>
    </row>
    <row r="119" spans="50:64" x14ac:dyDescent="0.25">
      <c r="AX119">
        <v>117</v>
      </c>
      <c r="AY119">
        <v>7819</v>
      </c>
      <c r="AZ119">
        <f t="shared" si="23"/>
        <v>249.88041949098351</v>
      </c>
      <c r="BA119">
        <f t="shared" si="24"/>
        <v>3.9966832765275925E-3</v>
      </c>
      <c r="BB119">
        <f t="shared" si="46"/>
        <v>0.47001078896137644</v>
      </c>
      <c r="BD119">
        <v>0.26306056999999999</v>
      </c>
      <c r="BE119">
        <v>30</v>
      </c>
      <c r="BF119">
        <v>7780</v>
      </c>
      <c r="BG119" s="5">
        <v>117</v>
      </c>
      <c r="BH119">
        <v>7681</v>
      </c>
      <c r="BI119" s="1">
        <v>0.32827698999999999</v>
      </c>
      <c r="BJ119">
        <v>7681</v>
      </c>
      <c r="BK119" s="5">
        <v>201</v>
      </c>
      <c r="BL119">
        <v>7732</v>
      </c>
    </row>
    <row r="120" spans="50:64" x14ac:dyDescent="0.25">
      <c r="AX120">
        <v>118</v>
      </c>
      <c r="AY120">
        <v>7856</v>
      </c>
      <c r="AZ120">
        <f t="shared" si="23"/>
        <v>248.70353869653769</v>
      </c>
      <c r="BA120">
        <f t="shared" si="24"/>
        <v>3.9778597936824403E-3</v>
      </c>
      <c r="BB120">
        <f t="shared" si="46"/>
        <v>0.47398864875505886</v>
      </c>
      <c r="BD120">
        <v>0.52085798999999999</v>
      </c>
      <c r="BE120">
        <v>170</v>
      </c>
      <c r="BF120">
        <v>7681</v>
      </c>
      <c r="BG120" s="5">
        <v>118</v>
      </c>
      <c r="BH120">
        <v>7804</v>
      </c>
      <c r="BI120" s="1">
        <v>0.54237181000000001</v>
      </c>
      <c r="BJ120">
        <v>7804</v>
      </c>
      <c r="BK120" s="5">
        <v>168</v>
      </c>
      <c r="BL120">
        <v>7732</v>
      </c>
    </row>
    <row r="121" spans="50:64" x14ac:dyDescent="0.25">
      <c r="AX121">
        <v>119</v>
      </c>
      <c r="AY121">
        <v>7947</v>
      </c>
      <c r="AZ121">
        <f t="shared" si="23"/>
        <v>245.85566880583869</v>
      </c>
      <c r="BA121">
        <f t="shared" si="24"/>
        <v>3.9323098702868063E-3</v>
      </c>
      <c r="BB121">
        <f t="shared" si="46"/>
        <v>0.47792095862534567</v>
      </c>
      <c r="BD121">
        <v>0.44979727000000003</v>
      </c>
      <c r="BE121">
        <v>72</v>
      </c>
      <c r="BF121">
        <v>7592</v>
      </c>
      <c r="BG121" s="5">
        <v>119</v>
      </c>
      <c r="BH121">
        <v>7852</v>
      </c>
      <c r="BI121" s="1">
        <v>0.10876656</v>
      </c>
      <c r="BJ121">
        <v>7852</v>
      </c>
      <c r="BK121" s="5">
        <v>41</v>
      </c>
      <c r="BL121">
        <v>7735</v>
      </c>
    </row>
    <row r="122" spans="50:64" x14ac:dyDescent="0.25">
      <c r="AX122">
        <v>120</v>
      </c>
      <c r="AY122">
        <v>8072</v>
      </c>
      <c r="AZ122">
        <f t="shared" si="23"/>
        <v>242.04843904856293</v>
      </c>
      <c r="BA122">
        <f t="shared" si="24"/>
        <v>3.8714155772013436E-3</v>
      </c>
      <c r="BB122">
        <f t="shared" si="46"/>
        <v>0.481792374202547</v>
      </c>
      <c r="BD122">
        <v>0.74348479999999995</v>
      </c>
      <c r="BE122">
        <v>69</v>
      </c>
      <c r="BF122">
        <v>7764</v>
      </c>
      <c r="BG122" s="5">
        <v>120</v>
      </c>
      <c r="BH122">
        <v>7779</v>
      </c>
      <c r="BI122" s="1">
        <v>0.47104471999999997</v>
      </c>
      <c r="BJ122">
        <v>7779</v>
      </c>
      <c r="BK122" s="5">
        <v>85</v>
      </c>
      <c r="BL122">
        <v>7738</v>
      </c>
    </row>
    <row r="123" spans="50:64" x14ac:dyDescent="0.25">
      <c r="AX123">
        <v>121</v>
      </c>
      <c r="AY123">
        <v>7686</v>
      </c>
      <c r="AZ123">
        <f t="shared" si="23"/>
        <v>254.20439760603696</v>
      </c>
      <c r="BA123">
        <f t="shared" si="24"/>
        <v>4.0658426410576697E-3</v>
      </c>
      <c r="BB123">
        <f t="shared" si="46"/>
        <v>0.4858582168436047</v>
      </c>
      <c r="BD123">
        <v>5.8406109999999997E-2</v>
      </c>
      <c r="BE123">
        <v>59</v>
      </c>
      <c r="BF123">
        <v>7568</v>
      </c>
      <c r="BG123" s="5">
        <v>121</v>
      </c>
      <c r="BH123">
        <v>7716</v>
      </c>
      <c r="BI123" s="1">
        <v>0.13732301999999999</v>
      </c>
      <c r="BJ123">
        <v>7716</v>
      </c>
      <c r="BK123" s="5">
        <v>140</v>
      </c>
      <c r="BL123">
        <v>7739</v>
      </c>
    </row>
    <row r="124" spans="50:64" x14ac:dyDescent="0.25">
      <c r="AX124">
        <v>122</v>
      </c>
      <c r="AY124">
        <v>7826</v>
      </c>
      <c r="AZ124">
        <f t="shared" si="23"/>
        <v>249.65691285458726</v>
      </c>
      <c r="BA124">
        <f t="shared" si="24"/>
        <v>3.993108425654133E-3</v>
      </c>
      <c r="BB124">
        <f t="shared" si="46"/>
        <v>0.48985132526925884</v>
      </c>
      <c r="BD124">
        <v>0.2131905</v>
      </c>
      <c r="BE124">
        <v>24</v>
      </c>
      <c r="BF124">
        <v>7789</v>
      </c>
      <c r="BG124" s="5">
        <v>122</v>
      </c>
      <c r="BH124">
        <v>7797</v>
      </c>
      <c r="BI124" s="1">
        <v>6.6649730000000004E-2</v>
      </c>
      <c r="BJ124">
        <v>7797</v>
      </c>
      <c r="BK124" s="5">
        <v>207</v>
      </c>
      <c r="BL124">
        <v>7740</v>
      </c>
    </row>
    <row r="125" spans="50:64" x14ac:dyDescent="0.25">
      <c r="AX125">
        <v>123</v>
      </c>
      <c r="AY125">
        <v>8006</v>
      </c>
      <c r="AZ125">
        <f t="shared" si="23"/>
        <v>244.04384211841119</v>
      </c>
      <c r="BA125">
        <f t="shared" si="24"/>
        <v>3.9033308192816946E-3</v>
      </c>
      <c r="BB125">
        <f t="shared" si="46"/>
        <v>0.49375465608854052</v>
      </c>
      <c r="BD125">
        <v>0.38769232999999997</v>
      </c>
      <c r="BE125">
        <v>109</v>
      </c>
      <c r="BF125">
        <v>7949</v>
      </c>
      <c r="BG125" s="5">
        <v>123</v>
      </c>
      <c r="BH125">
        <v>7609</v>
      </c>
      <c r="BI125" s="1">
        <v>0.93168472999999996</v>
      </c>
      <c r="BJ125">
        <v>7609</v>
      </c>
      <c r="BK125" s="5">
        <v>195</v>
      </c>
      <c r="BL125">
        <v>7741</v>
      </c>
    </row>
    <row r="126" spans="50:64" x14ac:dyDescent="0.25">
      <c r="AX126">
        <v>124</v>
      </c>
      <c r="AY126">
        <v>7919</v>
      </c>
      <c r="AZ126">
        <f t="shared" si="23"/>
        <v>246.72496527339311</v>
      </c>
      <c r="BA126">
        <f t="shared" si="24"/>
        <v>3.9462137314268527E-3</v>
      </c>
      <c r="BB126">
        <f t="shared" si="46"/>
        <v>0.49770086981996736</v>
      </c>
      <c r="BD126">
        <v>0.13512188</v>
      </c>
      <c r="BE126">
        <v>63</v>
      </c>
      <c r="BF126">
        <v>7512</v>
      </c>
      <c r="BG126" s="5">
        <v>124</v>
      </c>
      <c r="BH126">
        <v>7580</v>
      </c>
      <c r="BI126" s="1">
        <v>6.5034330000000001E-2</v>
      </c>
      <c r="BJ126">
        <v>7580</v>
      </c>
      <c r="BK126" s="5">
        <v>194</v>
      </c>
      <c r="BL126">
        <v>7742</v>
      </c>
    </row>
    <row r="127" spans="50:64" x14ac:dyDescent="0.25">
      <c r="AX127">
        <v>125</v>
      </c>
      <c r="AY127">
        <v>7909</v>
      </c>
      <c r="AZ127">
        <f t="shared" si="23"/>
        <v>247.0369199645973</v>
      </c>
      <c r="BA127">
        <f t="shared" si="24"/>
        <v>3.9512032544151282E-3</v>
      </c>
      <c r="BB127">
        <f t="shared" si="46"/>
        <v>0.50165207307438253</v>
      </c>
      <c r="BD127">
        <v>0.51752805999999996</v>
      </c>
      <c r="BE127">
        <v>100</v>
      </c>
      <c r="BF127">
        <v>7780</v>
      </c>
      <c r="BG127" s="5">
        <v>125</v>
      </c>
      <c r="BH127">
        <v>7741</v>
      </c>
      <c r="BI127" s="1">
        <v>0.41712177</v>
      </c>
      <c r="BJ127">
        <v>7741</v>
      </c>
      <c r="BK127" s="5">
        <v>224</v>
      </c>
      <c r="BL127">
        <v>7742</v>
      </c>
    </row>
    <row r="128" spans="50:64" x14ac:dyDescent="0.25">
      <c r="AX128">
        <v>126</v>
      </c>
      <c r="AY128">
        <v>7870</v>
      </c>
      <c r="AZ128">
        <f t="shared" si="23"/>
        <v>248.26111817026683</v>
      </c>
      <c r="BA128">
        <f t="shared" si="24"/>
        <v>3.9707835500850377E-3</v>
      </c>
      <c r="BB128">
        <f t="shared" si="46"/>
        <v>0.5056228566244676</v>
      </c>
      <c r="BD128">
        <v>0.18372506</v>
      </c>
      <c r="BE128">
        <v>114</v>
      </c>
      <c r="BF128">
        <v>7692</v>
      </c>
      <c r="BG128" s="5">
        <v>126</v>
      </c>
      <c r="BH128">
        <v>7588</v>
      </c>
      <c r="BI128" s="1">
        <v>0.29195075999999998</v>
      </c>
      <c r="BJ128">
        <v>7588</v>
      </c>
      <c r="BK128" s="5">
        <v>7</v>
      </c>
      <c r="BL128">
        <v>7743</v>
      </c>
    </row>
    <row r="129" spans="50:64" x14ac:dyDescent="0.25">
      <c r="AX129">
        <v>127</v>
      </c>
      <c r="AY129">
        <v>7858</v>
      </c>
      <c r="AZ129">
        <f t="shared" si="23"/>
        <v>248.64023924662763</v>
      </c>
      <c r="BA129">
        <f t="shared" si="24"/>
        <v>3.9768473580006677E-3</v>
      </c>
      <c r="BB129">
        <f t="shared" si="46"/>
        <v>0.50959970398246823</v>
      </c>
      <c r="BD129">
        <v>0.68238747</v>
      </c>
      <c r="BE129">
        <v>2</v>
      </c>
      <c r="BF129">
        <v>7705</v>
      </c>
      <c r="BG129" s="5">
        <v>127</v>
      </c>
      <c r="BH129">
        <v>7939</v>
      </c>
      <c r="BI129" s="1">
        <v>0.31168984999999999</v>
      </c>
      <c r="BJ129">
        <v>7939</v>
      </c>
      <c r="BK129" s="5">
        <v>65</v>
      </c>
      <c r="BL129">
        <v>7745</v>
      </c>
    </row>
    <row r="130" spans="50:64" x14ac:dyDescent="0.25">
      <c r="AX130">
        <v>128</v>
      </c>
      <c r="AY130">
        <v>7646</v>
      </c>
      <c r="AZ130">
        <f t="shared" si="23"/>
        <v>255.53426628302381</v>
      </c>
      <c r="BA130">
        <f t="shared" si="24"/>
        <v>4.0871130707780864E-3</v>
      </c>
      <c r="BB130">
        <f t="shared" si="46"/>
        <v>0.51368681705324637</v>
      </c>
      <c r="BD130">
        <v>0.88213998000000005</v>
      </c>
      <c r="BE130">
        <v>183</v>
      </c>
      <c r="BF130">
        <v>7958</v>
      </c>
      <c r="BG130" s="5">
        <v>128</v>
      </c>
      <c r="BH130">
        <v>7483</v>
      </c>
      <c r="BI130" s="2">
        <v>7.2943599999999997E-3</v>
      </c>
      <c r="BJ130">
        <v>7499</v>
      </c>
      <c r="BK130" s="5">
        <v>134</v>
      </c>
      <c r="BL130">
        <v>7747</v>
      </c>
    </row>
    <row r="131" spans="50:64" x14ac:dyDescent="0.25">
      <c r="AX131">
        <v>129</v>
      </c>
      <c r="AY131">
        <v>7876</v>
      </c>
      <c r="AZ131">
        <f t="shared" si="23"/>
        <v>248.07199085830371</v>
      </c>
      <c r="BA131">
        <f t="shared" si="24"/>
        <v>3.9677585753135156E-3</v>
      </c>
      <c r="BB131">
        <f t="shared" si="46"/>
        <v>0.51765457562855988</v>
      </c>
      <c r="BD131">
        <v>0.63316320999999998</v>
      </c>
      <c r="BE131">
        <v>57</v>
      </c>
      <c r="BF131">
        <v>7408</v>
      </c>
      <c r="BG131" s="5">
        <v>129</v>
      </c>
      <c r="BH131">
        <v>7612</v>
      </c>
      <c r="BI131" s="1">
        <v>0.70636248999999995</v>
      </c>
      <c r="BJ131">
        <v>7612</v>
      </c>
      <c r="BK131" s="5">
        <v>38</v>
      </c>
      <c r="BL131">
        <v>7748</v>
      </c>
    </row>
    <row r="132" spans="50:64" x14ac:dyDescent="0.25">
      <c r="AX132">
        <v>130</v>
      </c>
      <c r="AY132">
        <v>7910</v>
      </c>
      <c r="AZ132">
        <f t="shared" ref="AZ132:AZ195" si="47">$AY$254/AY132</f>
        <v>247.00568900126422</v>
      </c>
      <c r="BA132">
        <f t="shared" ref="BA132:BA195" si="48">AZ132/$AZ$254</f>
        <v>3.9507037344082485E-3</v>
      </c>
      <c r="BB132">
        <f t="shared" si="46"/>
        <v>0.52160527936296808</v>
      </c>
      <c r="BD132">
        <v>1.6751229999999999E-2</v>
      </c>
      <c r="BE132">
        <v>62</v>
      </c>
      <c r="BF132">
        <v>7673</v>
      </c>
      <c r="BG132" s="5">
        <v>130</v>
      </c>
      <c r="BH132">
        <v>7861</v>
      </c>
      <c r="BI132" s="1">
        <v>0.48758309999999999</v>
      </c>
      <c r="BJ132">
        <v>7861</v>
      </c>
      <c r="BK132" s="5">
        <v>247</v>
      </c>
      <c r="BL132">
        <v>7748</v>
      </c>
    </row>
    <row r="133" spans="50:64" x14ac:dyDescent="0.25">
      <c r="AX133">
        <v>131</v>
      </c>
      <c r="AY133">
        <v>7945</v>
      </c>
      <c r="AZ133">
        <f t="shared" si="47"/>
        <v>245.91755821271241</v>
      </c>
      <c r="BA133">
        <f t="shared" si="48"/>
        <v>3.9332997531994016E-3</v>
      </c>
      <c r="BB133">
        <f t="shared" si="46"/>
        <v>0.52553857911616753</v>
      </c>
      <c r="BD133">
        <v>0.89351404000000001</v>
      </c>
      <c r="BE133">
        <v>67</v>
      </c>
      <c r="BF133">
        <v>7662</v>
      </c>
      <c r="BG133" s="5">
        <v>131</v>
      </c>
      <c r="BH133">
        <v>7867</v>
      </c>
      <c r="BI133" s="1">
        <v>0.40972935999999999</v>
      </c>
      <c r="BJ133">
        <v>7867</v>
      </c>
      <c r="BK133" s="5">
        <v>53</v>
      </c>
      <c r="BL133">
        <v>7752</v>
      </c>
    </row>
    <row r="134" spans="50:64" x14ac:dyDescent="0.25">
      <c r="AX134">
        <v>132</v>
      </c>
      <c r="AY134">
        <v>7890</v>
      </c>
      <c r="AZ134">
        <f t="shared" si="47"/>
        <v>247.63181242078579</v>
      </c>
      <c r="BA134">
        <f t="shared" si="48"/>
        <v>3.9607181925436306E-3</v>
      </c>
      <c r="BB134">
        <f t="shared" si="46"/>
        <v>0.52949929730871115</v>
      </c>
      <c r="BD134">
        <v>0.36814504999999997</v>
      </c>
      <c r="BE134">
        <v>14</v>
      </c>
      <c r="BF134">
        <v>7543</v>
      </c>
      <c r="BG134" s="5">
        <v>132</v>
      </c>
      <c r="BH134">
        <v>7535</v>
      </c>
      <c r="BI134" s="2">
        <v>3.3366260000000002E-2</v>
      </c>
      <c r="BJ134">
        <v>7505</v>
      </c>
      <c r="BK134" s="5">
        <v>5</v>
      </c>
      <c r="BL134">
        <v>7755</v>
      </c>
    </row>
    <row r="135" spans="50:64" x14ac:dyDescent="0.25">
      <c r="AX135">
        <v>133</v>
      </c>
      <c r="AY135">
        <v>7595</v>
      </c>
      <c r="AZ135">
        <f t="shared" si="47"/>
        <v>257.25016458196183</v>
      </c>
      <c r="BA135">
        <f t="shared" si="48"/>
        <v>4.1145578063422313E-3</v>
      </c>
      <c r="BB135">
        <f t="shared" si="46"/>
        <v>0.53361385511505333</v>
      </c>
      <c r="BD135">
        <v>6.6993709999999998E-2</v>
      </c>
      <c r="BE135">
        <v>234</v>
      </c>
      <c r="BF135">
        <v>7762</v>
      </c>
      <c r="BG135" s="5">
        <v>133</v>
      </c>
      <c r="BH135">
        <v>7624</v>
      </c>
      <c r="BI135" s="1">
        <v>0.31699622</v>
      </c>
      <c r="BJ135">
        <v>7624</v>
      </c>
      <c r="BK135" s="5">
        <v>171</v>
      </c>
      <c r="BL135">
        <v>7759</v>
      </c>
    </row>
    <row r="136" spans="50:64" x14ac:dyDescent="0.25">
      <c r="AX136">
        <v>134</v>
      </c>
      <c r="AY136">
        <v>7732</v>
      </c>
      <c r="AZ136">
        <f t="shared" si="47"/>
        <v>252.69205897568546</v>
      </c>
      <c r="BA136">
        <f t="shared" si="48"/>
        <v>4.0416537169127324E-3</v>
      </c>
      <c r="BB136">
        <f t="shared" si="46"/>
        <v>0.53765550883196611</v>
      </c>
      <c r="BD136">
        <v>0.28972261999999999</v>
      </c>
      <c r="BE136">
        <v>36</v>
      </c>
      <c r="BF136">
        <v>7723</v>
      </c>
      <c r="BG136" s="5">
        <v>134</v>
      </c>
      <c r="BH136">
        <v>7971</v>
      </c>
      <c r="BI136" s="1">
        <v>9.1106709999999994E-2</v>
      </c>
      <c r="BJ136">
        <v>7971</v>
      </c>
      <c r="BK136" s="5">
        <v>132</v>
      </c>
      <c r="BL136">
        <v>7762</v>
      </c>
    </row>
    <row r="137" spans="50:64" x14ac:dyDescent="0.25">
      <c r="AX137">
        <v>135</v>
      </c>
      <c r="AY137">
        <v>7877</v>
      </c>
      <c r="AZ137">
        <f t="shared" si="47"/>
        <v>248.04049765139013</v>
      </c>
      <c r="BA137">
        <f t="shared" si="48"/>
        <v>3.9672548608822205E-3</v>
      </c>
      <c r="BB137">
        <f t="shared" si="46"/>
        <v>0.54162276369284834</v>
      </c>
      <c r="BD137">
        <v>0.60121119000000001</v>
      </c>
      <c r="BE137">
        <v>185</v>
      </c>
      <c r="BF137">
        <v>7710</v>
      </c>
      <c r="BG137" s="5">
        <v>135</v>
      </c>
      <c r="BH137">
        <v>7664</v>
      </c>
      <c r="BI137" s="1">
        <v>0.16788411</v>
      </c>
      <c r="BJ137">
        <v>7664</v>
      </c>
      <c r="BK137" s="5">
        <v>13</v>
      </c>
      <c r="BL137">
        <v>7763</v>
      </c>
    </row>
    <row r="138" spans="50:64" x14ac:dyDescent="0.25">
      <c r="AX138">
        <v>136</v>
      </c>
      <c r="AY138">
        <v>7857</v>
      </c>
      <c r="AZ138">
        <f t="shared" si="47"/>
        <v>248.67188494336261</v>
      </c>
      <c r="BA138">
        <f t="shared" si="48"/>
        <v>3.9773535114126573E-3</v>
      </c>
      <c r="BB138">
        <f t="shared" si="46"/>
        <v>0.54560011720426105</v>
      </c>
      <c r="BD138">
        <v>0.91521960000000002</v>
      </c>
      <c r="BE138">
        <v>224</v>
      </c>
      <c r="BF138">
        <v>7792</v>
      </c>
      <c r="BG138" s="5">
        <v>136</v>
      </c>
      <c r="BH138">
        <v>7622</v>
      </c>
      <c r="BI138" s="1">
        <v>0.42772526</v>
      </c>
      <c r="BJ138">
        <v>7622</v>
      </c>
      <c r="BK138" s="5">
        <v>34</v>
      </c>
      <c r="BL138">
        <v>7763</v>
      </c>
    </row>
    <row r="139" spans="50:64" x14ac:dyDescent="0.25">
      <c r="AX139">
        <v>137</v>
      </c>
      <c r="AY139">
        <v>7924</v>
      </c>
      <c r="AZ139">
        <f t="shared" si="47"/>
        <v>246.56928319030791</v>
      </c>
      <c r="BA139">
        <f t="shared" si="48"/>
        <v>3.943723692474665E-3</v>
      </c>
      <c r="BB139">
        <f t="shared" si="46"/>
        <v>0.54954384089673569</v>
      </c>
      <c r="BD139">
        <v>0.66527199999999997</v>
      </c>
      <c r="BE139">
        <v>191</v>
      </c>
      <c r="BF139">
        <v>7820</v>
      </c>
      <c r="BG139" s="5">
        <v>137</v>
      </c>
      <c r="BH139">
        <v>8145</v>
      </c>
      <c r="BI139" s="1">
        <v>0.1151818</v>
      </c>
      <c r="BJ139">
        <v>8145</v>
      </c>
      <c r="BK139" s="5">
        <v>150</v>
      </c>
      <c r="BL139">
        <v>7765</v>
      </c>
    </row>
    <row r="140" spans="50:64" x14ac:dyDescent="0.25">
      <c r="AX140">
        <v>138</v>
      </c>
      <c r="AY140">
        <v>7663</v>
      </c>
      <c r="AZ140">
        <f t="shared" si="47"/>
        <v>254.96737570142241</v>
      </c>
      <c r="BA140">
        <f t="shared" si="48"/>
        <v>4.0780460053724708E-3</v>
      </c>
      <c r="BB140">
        <f t="shared" si="46"/>
        <v>0.55362188690210812</v>
      </c>
      <c r="BD140">
        <v>2.6381910000000001E-2</v>
      </c>
      <c r="BE140">
        <v>68</v>
      </c>
      <c r="BF140">
        <v>7748</v>
      </c>
      <c r="BG140" s="5">
        <v>138</v>
      </c>
      <c r="BH140">
        <v>7795</v>
      </c>
      <c r="BI140" s="1">
        <v>0.83937222</v>
      </c>
      <c r="BJ140">
        <v>7795</v>
      </c>
      <c r="BK140" s="5">
        <v>218</v>
      </c>
      <c r="BL140">
        <v>7768</v>
      </c>
    </row>
    <row r="141" spans="50:64" x14ac:dyDescent="0.25">
      <c r="AX141">
        <v>139</v>
      </c>
      <c r="AY141">
        <v>7696</v>
      </c>
      <c r="AZ141">
        <f t="shared" si="47"/>
        <v>253.87409043659045</v>
      </c>
      <c r="BA141">
        <f t="shared" si="48"/>
        <v>4.060559581492886E-3</v>
      </c>
      <c r="BB141">
        <f t="shared" si="46"/>
        <v>0.55768244648360099</v>
      </c>
      <c r="BD141">
        <v>4.6750899999999998E-2</v>
      </c>
      <c r="BE141">
        <v>180</v>
      </c>
      <c r="BF141">
        <v>7700</v>
      </c>
      <c r="BG141" s="5">
        <v>139</v>
      </c>
      <c r="BH141">
        <v>7879</v>
      </c>
      <c r="BI141" s="1">
        <v>0.74462079999999997</v>
      </c>
      <c r="BJ141">
        <v>7879</v>
      </c>
      <c r="BK141" s="5">
        <v>166</v>
      </c>
      <c r="BL141">
        <v>7769</v>
      </c>
    </row>
    <row r="142" spans="50:64" x14ac:dyDescent="0.25">
      <c r="AX142">
        <v>140</v>
      </c>
      <c r="AY142">
        <v>7795</v>
      </c>
      <c r="AZ142">
        <f t="shared" si="47"/>
        <v>250.64977549711352</v>
      </c>
      <c r="BA142">
        <f t="shared" si="48"/>
        <v>4.0089886515932323E-3</v>
      </c>
      <c r="BB142">
        <f t="shared" si="46"/>
        <v>0.56169143513519426</v>
      </c>
      <c r="BD142">
        <v>0.86204773000000001</v>
      </c>
      <c r="BE142">
        <v>166</v>
      </c>
      <c r="BF142">
        <v>7681</v>
      </c>
      <c r="BG142" s="5">
        <v>140</v>
      </c>
      <c r="BH142">
        <v>7811</v>
      </c>
      <c r="BI142" s="1">
        <v>0.48291558000000001</v>
      </c>
      <c r="BJ142">
        <v>7811</v>
      </c>
      <c r="BK142" s="5">
        <v>27</v>
      </c>
      <c r="BL142">
        <v>7770</v>
      </c>
    </row>
    <row r="143" spans="50:64" x14ac:dyDescent="0.25">
      <c r="AX143">
        <v>141</v>
      </c>
      <c r="AY143">
        <v>7678</v>
      </c>
      <c r="AZ143">
        <f t="shared" si="47"/>
        <v>254.46926282886167</v>
      </c>
      <c r="BA143">
        <f t="shared" si="48"/>
        <v>4.0700789970264713E-3</v>
      </c>
      <c r="BB143">
        <f t="shared" si="46"/>
        <v>0.56576151413222076</v>
      </c>
      <c r="BD143">
        <v>0.22444581999999999</v>
      </c>
      <c r="BE143">
        <v>77</v>
      </c>
      <c r="BF143">
        <v>7784</v>
      </c>
      <c r="BG143" s="5">
        <v>141</v>
      </c>
      <c r="BH143">
        <v>7506</v>
      </c>
      <c r="BI143" s="1">
        <v>0.84340965999999995</v>
      </c>
      <c r="BJ143">
        <v>7506</v>
      </c>
      <c r="BK143" s="5">
        <v>141</v>
      </c>
      <c r="BL143">
        <v>7771</v>
      </c>
    </row>
    <row r="144" spans="50:64" x14ac:dyDescent="0.25">
      <c r="AX144">
        <v>142</v>
      </c>
      <c r="AY144">
        <v>7523</v>
      </c>
      <c r="AZ144">
        <f t="shared" si="47"/>
        <v>259.71221587132794</v>
      </c>
      <c r="BA144">
        <f t="shared" si="48"/>
        <v>4.1539367990388477E-3</v>
      </c>
      <c r="BB144">
        <f t="shared" si="46"/>
        <v>0.56991545093125962</v>
      </c>
      <c r="BD144">
        <v>0.39988583</v>
      </c>
      <c r="BE144">
        <v>14</v>
      </c>
      <c r="BF144">
        <v>7543</v>
      </c>
      <c r="BG144" s="5">
        <v>142</v>
      </c>
      <c r="BH144">
        <v>7831</v>
      </c>
      <c r="BI144" s="1">
        <v>0.22329217000000001</v>
      </c>
      <c r="BJ144">
        <v>7831</v>
      </c>
      <c r="BK144" s="5">
        <v>97</v>
      </c>
      <c r="BL144">
        <v>7773</v>
      </c>
    </row>
    <row r="145" spans="50:64" x14ac:dyDescent="0.25">
      <c r="AX145">
        <v>143</v>
      </c>
      <c r="AY145">
        <v>7590</v>
      </c>
      <c r="AZ145">
        <f t="shared" si="47"/>
        <v>257.41963109354413</v>
      </c>
      <c r="BA145">
        <f t="shared" si="48"/>
        <v>4.117268318731126E-3</v>
      </c>
      <c r="BB145">
        <f t="shared" si="46"/>
        <v>0.57403271924999077</v>
      </c>
      <c r="BD145">
        <v>2.316296E-2</v>
      </c>
      <c r="BE145">
        <v>46</v>
      </c>
      <c r="BF145">
        <v>7809</v>
      </c>
      <c r="BG145" s="5">
        <v>143</v>
      </c>
      <c r="BH145">
        <v>7615</v>
      </c>
      <c r="BI145" s="1">
        <v>0.13705038999999999</v>
      </c>
      <c r="BJ145">
        <v>7615</v>
      </c>
      <c r="BK145" s="5">
        <v>193</v>
      </c>
      <c r="BL145">
        <v>7777</v>
      </c>
    </row>
    <row r="146" spans="50:64" x14ac:dyDescent="0.25">
      <c r="AX146">
        <v>144</v>
      </c>
      <c r="AY146">
        <v>7702</v>
      </c>
      <c r="AZ146">
        <f t="shared" si="47"/>
        <v>253.6763178395222</v>
      </c>
      <c r="BA146">
        <f t="shared" si="48"/>
        <v>4.0573963307153011E-3</v>
      </c>
      <c r="BB146">
        <f t="shared" si="46"/>
        <v>0.57809011558070611</v>
      </c>
      <c r="BD146">
        <v>0.89204006999999996</v>
      </c>
      <c r="BE146">
        <v>33</v>
      </c>
      <c r="BF146">
        <v>7839</v>
      </c>
      <c r="BG146" s="5">
        <v>144</v>
      </c>
      <c r="BH146">
        <v>7771</v>
      </c>
      <c r="BI146" s="1">
        <v>0.92305844999999997</v>
      </c>
      <c r="BJ146">
        <v>7771</v>
      </c>
      <c r="BK146" s="5">
        <v>175</v>
      </c>
      <c r="BL146">
        <v>7778</v>
      </c>
    </row>
    <row r="147" spans="50:64" x14ac:dyDescent="0.25">
      <c r="AX147">
        <v>145</v>
      </c>
      <c r="AY147">
        <v>7760</v>
      </c>
      <c r="AZ147">
        <f t="shared" si="47"/>
        <v>251.78028350515464</v>
      </c>
      <c r="BA147">
        <f t="shared" si="48"/>
        <v>4.0270704303053155E-3</v>
      </c>
      <c r="BB147">
        <f t="shared" si="46"/>
        <v>0.58211718601101148</v>
      </c>
      <c r="BD147">
        <v>0.50678325000000002</v>
      </c>
      <c r="BE147">
        <v>175</v>
      </c>
      <c r="BF147">
        <v>7861</v>
      </c>
      <c r="BG147" s="5">
        <v>145</v>
      </c>
      <c r="BH147">
        <v>7943</v>
      </c>
      <c r="BI147" s="1">
        <v>0.92068612999999999</v>
      </c>
      <c r="BJ147">
        <v>7943</v>
      </c>
      <c r="BK147" s="5">
        <v>98</v>
      </c>
      <c r="BL147">
        <v>7779</v>
      </c>
    </row>
    <row r="148" spans="50:64" x14ac:dyDescent="0.25">
      <c r="AX148">
        <v>146</v>
      </c>
      <c r="AY148">
        <v>7927</v>
      </c>
      <c r="AZ148">
        <f t="shared" si="47"/>
        <v>246.47596820991549</v>
      </c>
      <c r="BA148">
        <f t="shared" si="48"/>
        <v>3.9422311768852339E-3</v>
      </c>
      <c r="BB148">
        <f t="shared" si="46"/>
        <v>0.58605941718789667</v>
      </c>
      <c r="BD148">
        <v>0.68593019</v>
      </c>
      <c r="BE148">
        <v>214</v>
      </c>
      <c r="BF148">
        <v>7854</v>
      </c>
      <c r="BG148" s="5">
        <v>146</v>
      </c>
      <c r="BH148">
        <v>7712</v>
      </c>
      <c r="BI148" s="2">
        <v>4.834753E-2</v>
      </c>
      <c r="BJ148">
        <v>7696</v>
      </c>
      <c r="BK148" s="5">
        <v>20</v>
      </c>
      <c r="BL148">
        <v>7779</v>
      </c>
    </row>
    <row r="149" spans="50:64" x14ac:dyDescent="0.25">
      <c r="AX149">
        <v>147</v>
      </c>
      <c r="AY149">
        <v>7828</v>
      </c>
      <c r="AZ149">
        <f t="shared" si="47"/>
        <v>249.59312723556465</v>
      </c>
      <c r="BA149">
        <f t="shared" si="48"/>
        <v>3.9920882139970939E-3</v>
      </c>
      <c r="BB149">
        <f t="shared" si="46"/>
        <v>0.59005150540189377</v>
      </c>
      <c r="BD149">
        <v>1.5859959999999999E-2</v>
      </c>
      <c r="BE149">
        <v>48</v>
      </c>
      <c r="BF149">
        <v>7853</v>
      </c>
      <c r="BG149" s="5">
        <v>147</v>
      </c>
      <c r="BH149">
        <v>7919</v>
      </c>
      <c r="BI149" s="1">
        <v>0.53652537</v>
      </c>
      <c r="BJ149">
        <v>7919</v>
      </c>
      <c r="BK149" s="5">
        <v>185</v>
      </c>
      <c r="BL149">
        <v>7779</v>
      </c>
    </row>
    <row r="150" spans="50:64" x14ac:dyDescent="0.25">
      <c r="AX150">
        <v>148</v>
      </c>
      <c r="AY150">
        <v>8070</v>
      </c>
      <c r="AZ150">
        <f t="shared" si="47"/>
        <v>242.10842627013631</v>
      </c>
      <c r="BA150">
        <f t="shared" si="48"/>
        <v>3.8723750358326202E-3</v>
      </c>
      <c r="BB150">
        <f t="shared" si="46"/>
        <v>0.59392388043772637</v>
      </c>
      <c r="BD150">
        <v>0.61145883999999995</v>
      </c>
      <c r="BE150">
        <v>205</v>
      </c>
      <c r="BF150">
        <v>7890</v>
      </c>
      <c r="BG150" s="5">
        <v>148</v>
      </c>
      <c r="BH150">
        <v>7812</v>
      </c>
      <c r="BI150" s="1">
        <v>0.80849581999999998</v>
      </c>
      <c r="BJ150">
        <v>7812</v>
      </c>
      <c r="BK150" s="5">
        <v>173</v>
      </c>
      <c r="BL150">
        <v>7780</v>
      </c>
    </row>
    <row r="151" spans="50:64" x14ac:dyDescent="0.25">
      <c r="AX151">
        <v>149</v>
      </c>
      <c r="AY151">
        <v>7879</v>
      </c>
      <c r="AZ151">
        <f t="shared" si="47"/>
        <v>247.97753522020562</v>
      </c>
      <c r="BA151">
        <f t="shared" si="48"/>
        <v>3.9662478156072154E-3</v>
      </c>
      <c r="BB151">
        <f t="shared" si="46"/>
        <v>0.59789012825333354</v>
      </c>
      <c r="BD151">
        <v>0.50599766000000002</v>
      </c>
      <c r="BE151">
        <v>8</v>
      </c>
      <c r="BF151">
        <v>7619</v>
      </c>
      <c r="BG151" s="5">
        <v>149</v>
      </c>
      <c r="BH151">
        <v>7742</v>
      </c>
      <c r="BI151" s="1">
        <v>0.88778710000000005</v>
      </c>
      <c r="BJ151">
        <v>7742</v>
      </c>
      <c r="BK151" s="5">
        <v>210</v>
      </c>
      <c r="BL151">
        <v>7782</v>
      </c>
    </row>
    <row r="152" spans="50:64" x14ac:dyDescent="0.25">
      <c r="AX152">
        <v>150</v>
      </c>
      <c r="AY152">
        <v>7757</v>
      </c>
      <c r="AZ152">
        <f t="shared" si="47"/>
        <v>251.87765888874566</v>
      </c>
      <c r="BA152">
        <f t="shared" si="48"/>
        <v>4.0286278895409625E-3</v>
      </c>
      <c r="BB152">
        <f t="shared" si="46"/>
        <v>0.60191875614287449</v>
      </c>
      <c r="BD152">
        <v>0.46587485000000001</v>
      </c>
      <c r="BE152">
        <v>82</v>
      </c>
      <c r="BF152">
        <v>7921</v>
      </c>
      <c r="BG152" s="5">
        <v>150</v>
      </c>
      <c r="BH152">
        <v>7815</v>
      </c>
      <c r="BI152" s="1">
        <v>0.65180534000000001</v>
      </c>
      <c r="BJ152">
        <v>7815</v>
      </c>
      <c r="BK152" s="5">
        <v>170</v>
      </c>
      <c r="BL152">
        <v>7786</v>
      </c>
    </row>
    <row r="153" spans="50:64" x14ac:dyDescent="0.25">
      <c r="AX153">
        <v>151</v>
      </c>
      <c r="AY153">
        <v>7743</v>
      </c>
      <c r="AZ153">
        <f t="shared" si="47"/>
        <v>252.33307503551595</v>
      </c>
      <c r="BA153">
        <f t="shared" si="48"/>
        <v>4.0359119900773921E-3</v>
      </c>
      <c r="BB153">
        <f t="shared" si="46"/>
        <v>0.60595466813295185</v>
      </c>
      <c r="BD153">
        <v>0.59326230999999996</v>
      </c>
      <c r="BE153">
        <v>64</v>
      </c>
      <c r="BF153">
        <v>7494</v>
      </c>
      <c r="BG153" s="5">
        <v>151</v>
      </c>
      <c r="BH153">
        <v>7671</v>
      </c>
      <c r="BI153" s="1">
        <v>0.29157435999999998</v>
      </c>
      <c r="BJ153">
        <v>7671</v>
      </c>
      <c r="BK153" s="5">
        <v>127</v>
      </c>
      <c r="BL153">
        <v>7787</v>
      </c>
    </row>
    <row r="154" spans="50:64" x14ac:dyDescent="0.25">
      <c r="AX154">
        <v>152</v>
      </c>
      <c r="AY154">
        <v>7858</v>
      </c>
      <c r="AZ154">
        <f t="shared" si="47"/>
        <v>248.64023924662763</v>
      </c>
      <c r="BA154">
        <f t="shared" si="48"/>
        <v>3.9768473580006677E-3</v>
      </c>
      <c r="BB154">
        <f t="shared" si="46"/>
        <v>0.60993151549095248</v>
      </c>
      <c r="BD154">
        <v>0.37754279000000002</v>
      </c>
      <c r="BE154">
        <v>169</v>
      </c>
      <c r="BF154">
        <v>7808</v>
      </c>
      <c r="BG154" s="5">
        <v>152</v>
      </c>
      <c r="BH154">
        <v>7676</v>
      </c>
      <c r="BI154" s="1">
        <v>0.76429610999999997</v>
      </c>
      <c r="BJ154">
        <v>7676</v>
      </c>
      <c r="BK154" s="5">
        <v>222</v>
      </c>
      <c r="BL154">
        <v>7787</v>
      </c>
    </row>
    <row r="155" spans="50:64" x14ac:dyDescent="0.25">
      <c r="AX155">
        <v>153</v>
      </c>
      <c r="AY155">
        <v>7984</v>
      </c>
      <c r="AZ155">
        <f t="shared" si="47"/>
        <v>244.71630761523045</v>
      </c>
      <c r="BA155">
        <f t="shared" si="48"/>
        <v>3.9140864903769099E-3</v>
      </c>
      <c r="BB155">
        <f t="shared" si="46"/>
        <v>0.61384560198132943</v>
      </c>
      <c r="BD155">
        <v>0.96287274</v>
      </c>
      <c r="BE155">
        <v>28</v>
      </c>
      <c r="BF155">
        <v>7719</v>
      </c>
      <c r="BG155" s="5">
        <v>153</v>
      </c>
      <c r="BH155">
        <v>7712</v>
      </c>
      <c r="BI155" s="1">
        <v>0.60754441999999997</v>
      </c>
      <c r="BJ155">
        <v>7712</v>
      </c>
      <c r="BK155" s="5">
        <v>9</v>
      </c>
      <c r="BL155">
        <v>7792</v>
      </c>
    </row>
    <row r="156" spans="50:64" x14ac:dyDescent="0.25">
      <c r="AX156">
        <v>154</v>
      </c>
      <c r="AY156">
        <v>7852</v>
      </c>
      <c r="AZ156">
        <f t="shared" si="47"/>
        <v>248.83023433520123</v>
      </c>
      <c r="BA156">
        <f t="shared" si="48"/>
        <v>3.9798862123241524E-3</v>
      </c>
      <c r="BB156">
        <f t="shared" si="46"/>
        <v>0.61782548819365357</v>
      </c>
      <c r="BD156">
        <v>7.9868729999999999E-2</v>
      </c>
      <c r="BE156">
        <v>80</v>
      </c>
      <c r="BF156">
        <v>7448</v>
      </c>
      <c r="BG156" s="5">
        <v>154</v>
      </c>
      <c r="BH156">
        <v>7447</v>
      </c>
      <c r="BI156" s="1">
        <v>0.98105878000000002</v>
      </c>
      <c r="BJ156">
        <v>7447</v>
      </c>
      <c r="BK156" s="5">
        <v>163</v>
      </c>
      <c r="BL156">
        <v>7794</v>
      </c>
    </row>
    <row r="157" spans="50:64" x14ac:dyDescent="0.25">
      <c r="AX157">
        <v>155</v>
      </c>
      <c r="AY157">
        <v>8065</v>
      </c>
      <c r="AZ157">
        <f t="shared" si="47"/>
        <v>242.2585244885307</v>
      </c>
      <c r="BA157">
        <f t="shared" si="48"/>
        <v>3.8747757643111283E-3</v>
      </c>
      <c r="BB157">
        <f t="shared" si="46"/>
        <v>0.62170026395796474</v>
      </c>
      <c r="BD157">
        <v>4.7423239999999998E-2</v>
      </c>
      <c r="BE157">
        <v>79</v>
      </c>
      <c r="BF157">
        <v>7907</v>
      </c>
      <c r="BG157" s="5">
        <v>155</v>
      </c>
      <c r="BH157">
        <v>8096</v>
      </c>
      <c r="BI157" s="1">
        <v>8.8237880000000005E-2</v>
      </c>
      <c r="BJ157">
        <v>8096</v>
      </c>
      <c r="BK157" s="5">
        <v>90</v>
      </c>
      <c r="BL157">
        <v>7794</v>
      </c>
    </row>
    <row r="158" spans="50:64" x14ac:dyDescent="0.25">
      <c r="AX158">
        <v>156</v>
      </c>
      <c r="AY158">
        <v>8034</v>
      </c>
      <c r="AZ158">
        <f t="shared" si="47"/>
        <v>243.19330346029375</v>
      </c>
      <c r="BA158">
        <f t="shared" si="48"/>
        <v>3.8897269777407577E-3</v>
      </c>
      <c r="BB158">
        <f t="shared" si="46"/>
        <v>0.62558999093570544</v>
      </c>
      <c r="BD158">
        <v>0.37663226999999999</v>
      </c>
      <c r="BE158">
        <v>34</v>
      </c>
      <c r="BF158">
        <v>7752</v>
      </c>
      <c r="BG158" s="5">
        <v>156</v>
      </c>
      <c r="BH158">
        <v>7808</v>
      </c>
      <c r="BI158" s="1">
        <v>0.27103406000000002</v>
      </c>
      <c r="BJ158">
        <v>7808</v>
      </c>
      <c r="BK158" s="5">
        <v>146</v>
      </c>
      <c r="BL158">
        <v>7795</v>
      </c>
    </row>
    <row r="159" spans="50:64" x14ac:dyDescent="0.25">
      <c r="AX159">
        <v>157</v>
      </c>
      <c r="AY159">
        <v>7847</v>
      </c>
      <c r="AZ159">
        <f t="shared" si="47"/>
        <v>248.98878552312985</v>
      </c>
      <c r="BA159">
        <f t="shared" si="48"/>
        <v>3.9824221408397151E-3</v>
      </c>
      <c r="BB159">
        <f t="shared" si="46"/>
        <v>0.62957241307654521</v>
      </c>
      <c r="BD159">
        <v>0.13088751000000001</v>
      </c>
      <c r="BE159">
        <v>83</v>
      </c>
      <c r="BF159">
        <v>7584</v>
      </c>
      <c r="BG159" s="5">
        <v>157</v>
      </c>
      <c r="BH159">
        <v>7710</v>
      </c>
      <c r="BI159" s="1">
        <v>0.64714503000000001</v>
      </c>
      <c r="BJ159">
        <v>7710</v>
      </c>
      <c r="BK159" s="5">
        <v>18</v>
      </c>
      <c r="BL159">
        <v>7797</v>
      </c>
    </row>
    <row r="160" spans="50:64" x14ac:dyDescent="0.25">
      <c r="AX160">
        <v>158</v>
      </c>
      <c r="AY160">
        <v>7851</v>
      </c>
      <c r="AZ160">
        <f t="shared" si="47"/>
        <v>248.8619284167622</v>
      </c>
      <c r="BA160">
        <f t="shared" si="48"/>
        <v>3.9803931396216082E-3</v>
      </c>
      <c r="BB160">
        <f t="shared" si="46"/>
        <v>0.63355280621616683</v>
      </c>
      <c r="BD160">
        <v>0.32997483</v>
      </c>
      <c r="BE160">
        <v>152</v>
      </c>
      <c r="BF160">
        <v>7858</v>
      </c>
      <c r="BG160" s="5">
        <v>158</v>
      </c>
      <c r="BH160">
        <v>7799</v>
      </c>
      <c r="BI160" s="1">
        <v>0.43281357999999998</v>
      </c>
      <c r="BJ160">
        <v>7799</v>
      </c>
      <c r="BK160" s="5">
        <v>184</v>
      </c>
      <c r="BL160">
        <v>7797</v>
      </c>
    </row>
    <row r="161" spans="50:64" x14ac:dyDescent="0.25">
      <c r="AX161">
        <v>159</v>
      </c>
      <c r="AY161">
        <v>7695</v>
      </c>
      <c r="AZ161">
        <f t="shared" si="47"/>
        <v>253.90708252111762</v>
      </c>
      <c r="BA161">
        <f t="shared" si="48"/>
        <v>4.0610872695476608E-3</v>
      </c>
      <c r="BB161">
        <f t="shared" si="46"/>
        <v>0.63761389348571451</v>
      </c>
      <c r="BD161">
        <v>0.28465378000000002</v>
      </c>
      <c r="BE161">
        <v>247</v>
      </c>
      <c r="BF161">
        <v>7713</v>
      </c>
      <c r="BG161" s="5">
        <v>159</v>
      </c>
      <c r="BH161">
        <v>7782</v>
      </c>
      <c r="BI161" s="1">
        <v>0.27130353000000001</v>
      </c>
      <c r="BJ161">
        <v>7782</v>
      </c>
      <c r="BK161" s="5">
        <v>245</v>
      </c>
      <c r="BL161">
        <v>7799</v>
      </c>
    </row>
    <row r="162" spans="50:64" x14ac:dyDescent="0.25">
      <c r="AX162">
        <v>160</v>
      </c>
      <c r="AY162">
        <v>8091</v>
      </c>
      <c r="AZ162">
        <f t="shared" si="47"/>
        <v>241.48003955011743</v>
      </c>
      <c r="BA162">
        <f t="shared" si="48"/>
        <v>3.8623243776009452E-3</v>
      </c>
      <c r="BB162">
        <f t="shared" si="46"/>
        <v>0.64147621786331543</v>
      </c>
      <c r="BD162">
        <v>0.95229417000000005</v>
      </c>
      <c r="BE162">
        <v>181</v>
      </c>
      <c r="BF162">
        <v>7797</v>
      </c>
      <c r="BG162" s="5">
        <v>160</v>
      </c>
      <c r="BH162">
        <v>7685</v>
      </c>
      <c r="BI162" s="1">
        <v>0.35684686999999998</v>
      </c>
      <c r="BJ162">
        <v>7685</v>
      </c>
      <c r="BK162" s="5">
        <v>198</v>
      </c>
      <c r="BL162">
        <v>7800</v>
      </c>
    </row>
    <row r="163" spans="50:64" x14ac:dyDescent="0.25">
      <c r="AX163">
        <v>161</v>
      </c>
      <c r="AY163">
        <v>7726</v>
      </c>
      <c r="AZ163">
        <f t="shared" si="47"/>
        <v>252.88829924928811</v>
      </c>
      <c r="BA163">
        <f t="shared" si="48"/>
        <v>4.0447924591210521E-3</v>
      </c>
      <c r="BB163">
        <f t="shared" si="46"/>
        <v>0.64552101032243647</v>
      </c>
      <c r="BD163">
        <v>0.79184127000000004</v>
      </c>
      <c r="BE163">
        <v>82</v>
      </c>
      <c r="BF163">
        <v>7921</v>
      </c>
      <c r="BG163" s="5">
        <v>161</v>
      </c>
      <c r="BH163">
        <v>7794</v>
      </c>
      <c r="BI163" s="1">
        <v>0.73467731000000003</v>
      </c>
      <c r="BJ163">
        <v>7794</v>
      </c>
      <c r="BK163" s="5">
        <v>243</v>
      </c>
      <c r="BL163">
        <v>7800</v>
      </c>
    </row>
    <row r="164" spans="50:64" x14ac:dyDescent="0.25">
      <c r="AX164">
        <v>162</v>
      </c>
      <c r="AY164">
        <v>8096</v>
      </c>
      <c r="AZ164">
        <f t="shared" si="47"/>
        <v>241.33090415019763</v>
      </c>
      <c r="BA164">
        <f t="shared" si="48"/>
        <v>3.8599390488104307E-3</v>
      </c>
      <c r="BB164">
        <f t="shared" si="46"/>
        <v>0.64938094937124691</v>
      </c>
      <c r="BD164">
        <v>0.43329519</v>
      </c>
      <c r="BE164">
        <v>167</v>
      </c>
      <c r="BF164">
        <v>7705</v>
      </c>
      <c r="BG164" s="5">
        <v>162</v>
      </c>
      <c r="BH164">
        <v>7905</v>
      </c>
      <c r="BI164" s="1">
        <v>0.38530462999999998</v>
      </c>
      <c r="BJ164">
        <v>7905</v>
      </c>
      <c r="BK164" s="5">
        <v>241</v>
      </c>
      <c r="BL164">
        <v>7800</v>
      </c>
    </row>
    <row r="165" spans="50:64" x14ac:dyDescent="0.25">
      <c r="AX165">
        <v>163</v>
      </c>
      <c r="AY165">
        <v>7781</v>
      </c>
      <c r="AZ165">
        <f t="shared" si="47"/>
        <v>251.10075825729342</v>
      </c>
      <c r="BA165">
        <f t="shared" si="48"/>
        <v>4.0162018428440112E-3</v>
      </c>
      <c r="BB165">
        <f t="shared" si="46"/>
        <v>0.65339715121409092</v>
      </c>
      <c r="BD165">
        <v>0.96614778000000001</v>
      </c>
      <c r="BE165">
        <v>249</v>
      </c>
      <c r="BF165">
        <v>7634</v>
      </c>
      <c r="BG165" s="5">
        <v>163</v>
      </c>
      <c r="BH165">
        <v>7592</v>
      </c>
      <c r="BI165" s="2">
        <v>1.856673E-2</v>
      </c>
      <c r="BJ165">
        <v>7546</v>
      </c>
      <c r="BK165" s="5">
        <v>12</v>
      </c>
      <c r="BL165">
        <v>7803</v>
      </c>
    </row>
    <row r="166" spans="50:64" x14ac:dyDescent="0.25">
      <c r="AX166">
        <v>164</v>
      </c>
      <c r="AY166">
        <v>7609</v>
      </c>
      <c r="AZ166">
        <f t="shared" si="47"/>
        <v>256.77684321198581</v>
      </c>
      <c r="BA166">
        <f t="shared" si="48"/>
        <v>4.1069873227979033E-3</v>
      </c>
      <c r="BB166">
        <f t="shared" si="46"/>
        <v>0.65750413853688883</v>
      </c>
      <c r="BD166">
        <v>0.18344694</v>
      </c>
      <c r="BE166">
        <v>64</v>
      </c>
      <c r="BF166">
        <v>7494</v>
      </c>
      <c r="BG166" s="5">
        <v>164</v>
      </c>
      <c r="BH166">
        <v>7578</v>
      </c>
      <c r="BI166" s="1">
        <v>0.72555583999999995</v>
      </c>
      <c r="BJ166">
        <v>7578</v>
      </c>
      <c r="BK166" s="5">
        <v>121</v>
      </c>
      <c r="BL166">
        <v>7804</v>
      </c>
    </row>
    <row r="167" spans="50:64" x14ac:dyDescent="0.25">
      <c r="AX167">
        <v>165</v>
      </c>
      <c r="AY167">
        <v>7719</v>
      </c>
      <c r="AZ167">
        <f t="shared" si="47"/>
        <v>253.11763181759295</v>
      </c>
      <c r="BA167">
        <f t="shared" si="48"/>
        <v>4.0484604921841236E-3</v>
      </c>
      <c r="BB167">
        <f t="shared" ref="BB167:BB230" si="49">BB166+BA167</f>
        <v>0.66155259902907293</v>
      </c>
      <c r="BD167">
        <v>0.52147865000000004</v>
      </c>
      <c r="BE167">
        <v>220</v>
      </c>
      <c r="BF167">
        <v>7774</v>
      </c>
      <c r="BG167" s="5">
        <v>165</v>
      </c>
      <c r="BH167">
        <v>7708</v>
      </c>
      <c r="BI167" s="1">
        <v>0.98145568000000005</v>
      </c>
      <c r="BJ167">
        <v>7708</v>
      </c>
      <c r="BK167" s="5">
        <v>68</v>
      </c>
      <c r="BL167">
        <v>7805</v>
      </c>
    </row>
    <row r="168" spans="50:64" x14ac:dyDescent="0.25">
      <c r="AX168">
        <v>166</v>
      </c>
      <c r="AY168">
        <v>7681</v>
      </c>
      <c r="AZ168">
        <f t="shared" si="47"/>
        <v>254.3698737143601</v>
      </c>
      <c r="BA168">
        <f t="shared" si="48"/>
        <v>4.0684893294062295E-3</v>
      </c>
      <c r="BB168">
        <f t="shared" si="49"/>
        <v>0.66562108835847911</v>
      </c>
      <c r="BD168">
        <v>0.22509593</v>
      </c>
      <c r="BE168">
        <v>87</v>
      </c>
      <c r="BF168">
        <v>7727</v>
      </c>
      <c r="BG168" s="5">
        <v>166</v>
      </c>
      <c r="BH168">
        <v>7620</v>
      </c>
      <c r="BI168" s="1">
        <v>0.96125369999999999</v>
      </c>
      <c r="BJ168">
        <v>7620</v>
      </c>
      <c r="BK168" s="5">
        <v>148</v>
      </c>
      <c r="BL168">
        <v>7808</v>
      </c>
    </row>
    <row r="169" spans="50:64" x14ac:dyDescent="0.25">
      <c r="AX169">
        <v>167</v>
      </c>
      <c r="AY169">
        <v>7705</v>
      </c>
      <c r="AZ169">
        <f t="shared" si="47"/>
        <v>253.57754704737184</v>
      </c>
      <c r="BA169">
        <f t="shared" si="48"/>
        <v>4.055816552779915E-3</v>
      </c>
      <c r="BB169">
        <f t="shared" si="49"/>
        <v>0.66967690491125897</v>
      </c>
      <c r="BD169">
        <v>0.89860689999999999</v>
      </c>
      <c r="BE169">
        <v>76</v>
      </c>
      <c r="BF169">
        <v>7659</v>
      </c>
      <c r="BG169" s="5">
        <v>167</v>
      </c>
      <c r="BH169">
        <v>7674</v>
      </c>
      <c r="BI169" s="1">
        <v>0.21686696999999999</v>
      </c>
      <c r="BJ169">
        <v>7674</v>
      </c>
      <c r="BK169" s="5">
        <v>22</v>
      </c>
      <c r="BL169">
        <v>7809</v>
      </c>
    </row>
    <row r="170" spans="50:64" x14ac:dyDescent="0.25">
      <c r="AX170">
        <v>168</v>
      </c>
      <c r="AY170">
        <v>7752</v>
      </c>
      <c r="AZ170">
        <f t="shared" si="47"/>
        <v>252.04011867905058</v>
      </c>
      <c r="BA170">
        <f t="shared" si="48"/>
        <v>4.031226333742163E-3</v>
      </c>
      <c r="BB170">
        <f t="shared" si="49"/>
        <v>0.67370813124500117</v>
      </c>
      <c r="BD170">
        <v>0.71248560999999999</v>
      </c>
      <c r="BE170">
        <v>180</v>
      </c>
      <c r="BF170">
        <v>7700</v>
      </c>
      <c r="BG170" s="5">
        <v>168</v>
      </c>
      <c r="BH170">
        <v>7698</v>
      </c>
      <c r="BI170" s="1">
        <v>0.55250520000000003</v>
      </c>
      <c r="BJ170">
        <v>7698</v>
      </c>
      <c r="BK170" s="5">
        <v>128</v>
      </c>
      <c r="BL170">
        <v>7811</v>
      </c>
    </row>
    <row r="171" spans="50:64" x14ac:dyDescent="0.25">
      <c r="AX171">
        <v>169</v>
      </c>
      <c r="AY171">
        <v>7808</v>
      </c>
      <c r="AZ171">
        <f t="shared" si="47"/>
        <v>250.23245389344262</v>
      </c>
      <c r="BA171">
        <f t="shared" si="48"/>
        <v>4.0023138497911432E-3</v>
      </c>
      <c r="BB171">
        <f t="shared" si="49"/>
        <v>0.67771044509479228</v>
      </c>
      <c r="BD171">
        <v>0.20511460000000001</v>
      </c>
      <c r="BE171">
        <v>112</v>
      </c>
      <c r="BF171">
        <v>7790</v>
      </c>
      <c r="BG171" s="5">
        <v>169</v>
      </c>
      <c r="BH171">
        <v>7695</v>
      </c>
      <c r="BI171" s="1">
        <v>0.17565644</v>
      </c>
      <c r="BJ171">
        <v>7695</v>
      </c>
      <c r="BK171" s="5">
        <v>214</v>
      </c>
      <c r="BL171">
        <v>7812</v>
      </c>
    </row>
    <row r="172" spans="50:64" x14ac:dyDescent="0.25">
      <c r="AX172">
        <v>170</v>
      </c>
      <c r="AY172">
        <v>7681</v>
      </c>
      <c r="AZ172">
        <f t="shared" si="47"/>
        <v>254.3698737143601</v>
      </c>
      <c r="BA172">
        <f t="shared" si="48"/>
        <v>4.0684893294062295E-3</v>
      </c>
      <c r="BB172">
        <f t="shared" si="49"/>
        <v>0.68177893442419846</v>
      </c>
      <c r="BD172">
        <v>0.61193222000000003</v>
      </c>
      <c r="BE172">
        <v>34</v>
      </c>
      <c r="BF172">
        <v>7752</v>
      </c>
      <c r="BG172" s="5">
        <v>170</v>
      </c>
      <c r="BH172">
        <v>7825</v>
      </c>
      <c r="BI172" s="1">
        <v>0.60350495999999998</v>
      </c>
      <c r="BJ172">
        <v>7825</v>
      </c>
      <c r="BK172" s="5">
        <v>110</v>
      </c>
      <c r="BL172">
        <v>7812</v>
      </c>
    </row>
    <row r="173" spans="50:64" x14ac:dyDescent="0.25">
      <c r="AX173">
        <v>171</v>
      </c>
      <c r="AY173">
        <v>7681</v>
      </c>
      <c r="AZ173">
        <f t="shared" si="47"/>
        <v>254.3698737143601</v>
      </c>
      <c r="BA173">
        <f t="shared" si="48"/>
        <v>4.0684893294062295E-3</v>
      </c>
      <c r="BB173">
        <f t="shared" si="49"/>
        <v>0.68584742375360463</v>
      </c>
      <c r="BD173">
        <v>0.67486559999999995</v>
      </c>
      <c r="BE173">
        <v>94</v>
      </c>
      <c r="BF173">
        <v>7745</v>
      </c>
      <c r="BG173" s="5">
        <v>171</v>
      </c>
      <c r="BH173">
        <v>7953</v>
      </c>
      <c r="BI173" s="1">
        <v>0.86555265999999997</v>
      </c>
      <c r="BJ173">
        <v>7953</v>
      </c>
      <c r="BK173" s="5">
        <v>130</v>
      </c>
      <c r="BL173">
        <v>7813</v>
      </c>
    </row>
    <row r="174" spans="50:64" x14ac:dyDescent="0.25">
      <c r="AX174">
        <v>172</v>
      </c>
      <c r="AY174">
        <v>8050</v>
      </c>
      <c r="AZ174">
        <f t="shared" si="47"/>
        <v>242.70993788819877</v>
      </c>
      <c r="BA174">
        <f t="shared" si="48"/>
        <v>3.8819958433750617E-3</v>
      </c>
      <c r="BB174">
        <f t="shared" si="49"/>
        <v>0.68972941959697964</v>
      </c>
      <c r="BD174">
        <v>0.82340676000000002</v>
      </c>
      <c r="BE174">
        <v>218</v>
      </c>
      <c r="BF174">
        <v>7958</v>
      </c>
      <c r="BG174" s="5">
        <v>172</v>
      </c>
      <c r="BH174">
        <v>7608</v>
      </c>
      <c r="BI174" s="1">
        <v>0.13012974999999999</v>
      </c>
      <c r="BJ174">
        <v>7608</v>
      </c>
      <c r="BK174" s="5">
        <v>122</v>
      </c>
      <c r="BL174">
        <v>7815</v>
      </c>
    </row>
    <row r="175" spans="50:64" x14ac:dyDescent="0.25">
      <c r="AX175">
        <v>173</v>
      </c>
      <c r="AY175">
        <v>7573</v>
      </c>
      <c r="AZ175">
        <f t="shared" si="47"/>
        <v>257.99749108675559</v>
      </c>
      <c r="BA175">
        <f t="shared" si="48"/>
        <v>4.1265108331135945E-3</v>
      </c>
      <c r="BB175">
        <f t="shared" si="49"/>
        <v>0.69385593043009319</v>
      </c>
      <c r="BD175">
        <v>0.80325937000000003</v>
      </c>
      <c r="BE175">
        <v>34</v>
      </c>
      <c r="BF175">
        <v>7752</v>
      </c>
      <c r="BG175" s="5">
        <v>173</v>
      </c>
      <c r="BH175">
        <v>7525</v>
      </c>
      <c r="BI175" s="1">
        <v>0.12173784</v>
      </c>
      <c r="BJ175">
        <v>7525</v>
      </c>
      <c r="BK175" s="5">
        <v>71</v>
      </c>
      <c r="BL175">
        <v>7815</v>
      </c>
    </row>
    <row r="176" spans="50:64" x14ac:dyDescent="0.25">
      <c r="AX176">
        <v>174</v>
      </c>
      <c r="AY176">
        <v>7899</v>
      </c>
      <c r="AZ176">
        <f t="shared" si="47"/>
        <v>247.34966451449552</v>
      </c>
      <c r="BA176">
        <f t="shared" si="48"/>
        <v>3.9562054107063231E-3</v>
      </c>
      <c r="BB176">
        <f t="shared" si="49"/>
        <v>0.69781213584079949</v>
      </c>
      <c r="BD176">
        <v>0.2747733</v>
      </c>
      <c r="BE176">
        <v>80</v>
      </c>
      <c r="BF176">
        <v>7448</v>
      </c>
      <c r="BG176" s="5">
        <v>174</v>
      </c>
      <c r="BH176">
        <v>7941</v>
      </c>
      <c r="BI176" s="1">
        <v>0.97839551999999996</v>
      </c>
      <c r="BJ176">
        <v>7941</v>
      </c>
      <c r="BK176" s="5">
        <v>205</v>
      </c>
      <c r="BL176">
        <v>7815</v>
      </c>
    </row>
    <row r="177" spans="50:64" x14ac:dyDescent="0.25">
      <c r="AX177">
        <v>175</v>
      </c>
      <c r="AY177">
        <v>7861</v>
      </c>
      <c r="AZ177">
        <f t="shared" si="47"/>
        <v>248.54535046431752</v>
      </c>
      <c r="BA177">
        <f t="shared" si="48"/>
        <v>3.9753296704196986E-3</v>
      </c>
      <c r="BB177">
        <f t="shared" si="49"/>
        <v>0.70178746551121918</v>
      </c>
      <c r="BD177">
        <v>0.56451618999999997</v>
      </c>
      <c r="BE177">
        <v>76</v>
      </c>
      <c r="BF177">
        <v>7659</v>
      </c>
      <c r="BG177" s="5">
        <v>175</v>
      </c>
      <c r="BH177">
        <v>7823</v>
      </c>
      <c r="BI177" s="1">
        <v>0.35147666999999999</v>
      </c>
      <c r="BJ177">
        <v>7823</v>
      </c>
      <c r="BK177" s="5">
        <v>213</v>
      </c>
      <c r="BL177">
        <v>7818</v>
      </c>
    </row>
    <row r="178" spans="50:64" x14ac:dyDescent="0.25">
      <c r="AX178">
        <v>176</v>
      </c>
      <c r="AY178">
        <v>7743</v>
      </c>
      <c r="AZ178">
        <f t="shared" si="47"/>
        <v>252.33307503551595</v>
      </c>
      <c r="BA178">
        <f t="shared" si="48"/>
        <v>4.0359119900773921E-3</v>
      </c>
      <c r="BB178">
        <f t="shared" si="49"/>
        <v>0.70582337750129653</v>
      </c>
      <c r="BD178">
        <v>0.76993352000000004</v>
      </c>
      <c r="BE178">
        <v>236</v>
      </c>
      <c r="BF178">
        <v>7752</v>
      </c>
      <c r="BG178" s="5">
        <v>176</v>
      </c>
      <c r="BH178">
        <v>7664</v>
      </c>
      <c r="BI178" s="1">
        <v>9.0570629999999999E-2</v>
      </c>
      <c r="BJ178">
        <v>7664</v>
      </c>
      <c r="BK178" s="5">
        <v>80</v>
      </c>
      <c r="BL178">
        <v>7819</v>
      </c>
    </row>
    <row r="179" spans="50:64" x14ac:dyDescent="0.25">
      <c r="AX179">
        <v>177</v>
      </c>
      <c r="AY179">
        <v>7922</v>
      </c>
      <c r="AZ179">
        <f t="shared" si="47"/>
        <v>246.63153244130271</v>
      </c>
      <c r="BA179">
        <f t="shared" si="48"/>
        <v>3.9447193308721597E-3</v>
      </c>
      <c r="BB179">
        <f t="shared" si="49"/>
        <v>0.70976809683216868</v>
      </c>
      <c r="BD179">
        <v>0.36724352999999998</v>
      </c>
      <c r="BE179">
        <v>134</v>
      </c>
      <c r="BF179">
        <v>7732</v>
      </c>
      <c r="BG179" s="5">
        <v>177</v>
      </c>
      <c r="BH179">
        <v>7908</v>
      </c>
      <c r="BI179" s="1">
        <v>0.23577654000000001</v>
      </c>
      <c r="BJ179">
        <v>7908</v>
      </c>
      <c r="BK179" s="5">
        <v>75</v>
      </c>
      <c r="BL179">
        <v>7823</v>
      </c>
    </row>
    <row r="180" spans="50:64" x14ac:dyDescent="0.25">
      <c r="AX180">
        <v>178</v>
      </c>
      <c r="AY180">
        <v>7850</v>
      </c>
      <c r="AZ180">
        <f t="shared" si="47"/>
        <v>248.8936305732484</v>
      </c>
      <c r="BA180">
        <f t="shared" si="48"/>
        <v>3.9809001960725158E-3</v>
      </c>
      <c r="BB180">
        <f t="shared" si="49"/>
        <v>0.71374899702824124</v>
      </c>
      <c r="BD180">
        <v>0.62212747000000002</v>
      </c>
      <c r="BE180">
        <v>28</v>
      </c>
      <c r="BF180">
        <v>7719</v>
      </c>
      <c r="BG180" s="5">
        <v>178</v>
      </c>
      <c r="BH180">
        <v>7695</v>
      </c>
      <c r="BI180" s="1">
        <v>0.90019541999999997</v>
      </c>
      <c r="BJ180">
        <v>7695</v>
      </c>
      <c r="BK180" s="5">
        <v>239</v>
      </c>
      <c r="BL180">
        <v>7825</v>
      </c>
    </row>
    <row r="181" spans="50:64" x14ac:dyDescent="0.25">
      <c r="AX181">
        <v>179</v>
      </c>
      <c r="AY181">
        <v>7612</v>
      </c>
      <c r="AZ181">
        <f t="shared" si="47"/>
        <v>256.67564372044143</v>
      </c>
      <c r="BA181">
        <f t="shared" si="48"/>
        <v>4.105368699312828E-3</v>
      </c>
      <c r="BB181">
        <f t="shared" si="49"/>
        <v>0.71785436572755401</v>
      </c>
      <c r="BD181">
        <v>0.65453373999999998</v>
      </c>
      <c r="BE181">
        <v>39</v>
      </c>
      <c r="BF181">
        <v>7644</v>
      </c>
      <c r="BG181" s="5">
        <v>179</v>
      </c>
      <c r="BH181">
        <v>7610</v>
      </c>
      <c r="BI181" s="2">
        <v>4.4328930000000002E-2</v>
      </c>
      <c r="BJ181">
        <v>7664</v>
      </c>
      <c r="BK181" s="5">
        <v>152</v>
      </c>
      <c r="BL181">
        <v>7827</v>
      </c>
    </row>
    <row r="182" spans="50:64" x14ac:dyDescent="0.25">
      <c r="AX182">
        <v>180</v>
      </c>
      <c r="AY182">
        <v>7700</v>
      </c>
      <c r="AZ182">
        <f t="shared" si="47"/>
        <v>253.74220779220778</v>
      </c>
      <c r="BA182">
        <f t="shared" si="48"/>
        <v>4.0584501998921097E-3</v>
      </c>
      <c r="BB182">
        <f t="shared" si="49"/>
        <v>0.72191281592744616</v>
      </c>
      <c r="BD182">
        <v>0.35364062000000002</v>
      </c>
      <c r="BE182">
        <v>91</v>
      </c>
      <c r="BF182">
        <v>7805</v>
      </c>
      <c r="BG182" s="5">
        <v>180</v>
      </c>
      <c r="BH182">
        <v>7969</v>
      </c>
      <c r="BI182" s="1">
        <v>0.57477623</v>
      </c>
      <c r="BJ182">
        <v>7969</v>
      </c>
      <c r="BK182" s="5">
        <v>86</v>
      </c>
      <c r="BL182">
        <v>7828</v>
      </c>
    </row>
    <row r="183" spans="50:64" x14ac:dyDescent="0.25">
      <c r="AX183">
        <v>181</v>
      </c>
      <c r="AY183">
        <v>7797</v>
      </c>
      <c r="AZ183">
        <f t="shared" si="47"/>
        <v>250.58548159548545</v>
      </c>
      <c r="BA183">
        <f t="shared" si="48"/>
        <v>4.0079603102692379E-3</v>
      </c>
      <c r="BB183">
        <f t="shared" si="49"/>
        <v>0.72592077623771545</v>
      </c>
      <c r="BD183">
        <v>0.30484295</v>
      </c>
      <c r="BE183">
        <v>77</v>
      </c>
      <c r="BF183">
        <v>7784</v>
      </c>
      <c r="BG183" s="5">
        <v>181</v>
      </c>
      <c r="BH183">
        <v>7641</v>
      </c>
      <c r="BI183" s="1">
        <v>0.13899469</v>
      </c>
      <c r="BJ183">
        <v>7641</v>
      </c>
      <c r="BK183" s="5">
        <v>204</v>
      </c>
      <c r="BL183">
        <v>7829</v>
      </c>
    </row>
    <row r="184" spans="50:64" x14ac:dyDescent="0.25">
      <c r="AX184">
        <v>182</v>
      </c>
      <c r="AY184">
        <v>7678</v>
      </c>
      <c r="AZ184">
        <f t="shared" si="47"/>
        <v>254.46926282886167</v>
      </c>
      <c r="BA184">
        <f t="shared" si="48"/>
        <v>4.0700789970264713E-3</v>
      </c>
      <c r="BB184">
        <f t="shared" si="49"/>
        <v>0.72999085523474194</v>
      </c>
      <c r="BD184">
        <v>0.99316709999999997</v>
      </c>
      <c r="BE184">
        <v>215</v>
      </c>
      <c r="BF184">
        <v>7781</v>
      </c>
      <c r="BG184" s="5">
        <v>182</v>
      </c>
      <c r="BH184">
        <v>7731</v>
      </c>
      <c r="BI184" s="1">
        <v>0.49803608999999999</v>
      </c>
      <c r="BJ184">
        <v>7731</v>
      </c>
      <c r="BK184" s="5">
        <v>25</v>
      </c>
      <c r="BL184">
        <v>7830</v>
      </c>
    </row>
    <row r="185" spans="50:64" x14ac:dyDescent="0.25">
      <c r="AX185">
        <v>183</v>
      </c>
      <c r="AY185">
        <v>7958</v>
      </c>
      <c r="AZ185">
        <f t="shared" si="47"/>
        <v>245.51583312390048</v>
      </c>
      <c r="BA185">
        <f t="shared" si="48"/>
        <v>3.9268744080383569E-3</v>
      </c>
      <c r="BB185">
        <f t="shared" si="49"/>
        <v>0.73391772964278035</v>
      </c>
      <c r="BD185">
        <v>0.23990118999999999</v>
      </c>
      <c r="BE185">
        <v>18</v>
      </c>
      <c r="BF185">
        <v>7695</v>
      </c>
      <c r="BG185" s="5">
        <v>183</v>
      </c>
      <c r="BH185">
        <v>7692</v>
      </c>
      <c r="BI185" s="1">
        <v>0.20332158</v>
      </c>
      <c r="BJ185">
        <v>7692</v>
      </c>
      <c r="BK185" s="5">
        <v>107</v>
      </c>
      <c r="BL185">
        <v>7830</v>
      </c>
    </row>
    <row r="186" spans="50:64" x14ac:dyDescent="0.25">
      <c r="AX186">
        <v>184</v>
      </c>
      <c r="AY186">
        <v>7690</v>
      </c>
      <c r="AZ186">
        <f t="shared" si="47"/>
        <v>254.07217165149544</v>
      </c>
      <c r="BA186">
        <f t="shared" si="48"/>
        <v>4.0637277684225283E-3</v>
      </c>
      <c r="BB186">
        <f t="shared" si="49"/>
        <v>0.73798145741120291</v>
      </c>
      <c r="BD186">
        <v>0.75207930999999995</v>
      </c>
      <c r="BE186">
        <v>69</v>
      </c>
      <c r="BF186">
        <v>7764</v>
      </c>
      <c r="BG186" s="5">
        <v>184</v>
      </c>
      <c r="BH186">
        <v>7805</v>
      </c>
      <c r="BI186" s="1">
        <v>0.92773609999999995</v>
      </c>
      <c r="BJ186">
        <v>7805</v>
      </c>
      <c r="BK186" s="5">
        <v>59</v>
      </c>
      <c r="BL186">
        <v>7831</v>
      </c>
    </row>
    <row r="187" spans="50:64" x14ac:dyDescent="0.25">
      <c r="AX187">
        <v>185</v>
      </c>
      <c r="AY187">
        <v>7710</v>
      </c>
      <c r="AZ187">
        <f t="shared" si="47"/>
        <v>253.41309987029831</v>
      </c>
      <c r="BA187">
        <f t="shared" si="48"/>
        <v>4.0531863215524317E-3</v>
      </c>
      <c r="BB187">
        <f t="shared" si="49"/>
        <v>0.74203464373275529</v>
      </c>
      <c r="BD187">
        <v>0.89590382999999996</v>
      </c>
      <c r="BE187">
        <v>158</v>
      </c>
      <c r="BF187">
        <v>7851</v>
      </c>
      <c r="BG187" s="5">
        <v>185</v>
      </c>
      <c r="BH187">
        <v>7729</v>
      </c>
      <c r="BI187" s="1">
        <v>0.67117952999999997</v>
      </c>
      <c r="BJ187">
        <v>7729</v>
      </c>
      <c r="BK187" s="5">
        <v>15</v>
      </c>
      <c r="BL187">
        <v>7840</v>
      </c>
    </row>
    <row r="188" spans="50:64" x14ac:dyDescent="0.25">
      <c r="AX188">
        <v>186</v>
      </c>
      <c r="AY188">
        <v>7705</v>
      </c>
      <c r="AZ188">
        <f t="shared" si="47"/>
        <v>253.57754704737184</v>
      </c>
      <c r="BA188">
        <f t="shared" si="48"/>
        <v>4.055816552779915E-3</v>
      </c>
      <c r="BB188">
        <f t="shared" si="49"/>
        <v>0.74609046028553516</v>
      </c>
      <c r="BD188">
        <v>0.11085361000000001</v>
      </c>
      <c r="BE188">
        <v>13</v>
      </c>
      <c r="BF188">
        <v>7597</v>
      </c>
      <c r="BG188" s="5">
        <v>186</v>
      </c>
      <c r="BH188">
        <v>7743</v>
      </c>
      <c r="BI188" s="1">
        <v>0.37828821000000001</v>
      </c>
      <c r="BJ188">
        <v>7743</v>
      </c>
      <c r="BK188" s="5">
        <v>91</v>
      </c>
      <c r="BL188">
        <v>7841</v>
      </c>
    </row>
    <row r="189" spans="50:64" x14ac:dyDescent="0.25">
      <c r="AX189">
        <v>187</v>
      </c>
      <c r="AY189">
        <v>7701</v>
      </c>
      <c r="AZ189">
        <f t="shared" si="47"/>
        <v>253.70925853785224</v>
      </c>
      <c r="BA189">
        <f t="shared" si="48"/>
        <v>4.057923196879528E-3</v>
      </c>
      <c r="BB189">
        <f t="shared" si="49"/>
        <v>0.75014838348241464</v>
      </c>
      <c r="BD189">
        <v>0.46423423000000003</v>
      </c>
      <c r="BE189">
        <v>141</v>
      </c>
      <c r="BF189">
        <v>7678</v>
      </c>
      <c r="BG189" s="5">
        <v>187</v>
      </c>
      <c r="BH189">
        <v>7681</v>
      </c>
      <c r="BI189" s="1">
        <v>0.38214529000000003</v>
      </c>
      <c r="BJ189">
        <v>7681</v>
      </c>
      <c r="BK189" s="5">
        <v>179</v>
      </c>
      <c r="BL189">
        <v>7841</v>
      </c>
    </row>
    <row r="190" spans="50:64" x14ac:dyDescent="0.25">
      <c r="AX190">
        <v>188</v>
      </c>
      <c r="AY190">
        <v>7935</v>
      </c>
      <c r="AZ190">
        <f t="shared" si="47"/>
        <v>246.22747321991179</v>
      </c>
      <c r="BA190">
        <f t="shared" si="48"/>
        <v>3.9382566526993384E-3</v>
      </c>
      <c r="BB190">
        <f t="shared" si="49"/>
        <v>0.75408664013511395</v>
      </c>
      <c r="BD190">
        <v>0.59690242999999998</v>
      </c>
      <c r="BE190">
        <v>62</v>
      </c>
      <c r="BF190">
        <v>7673</v>
      </c>
      <c r="BG190" s="5">
        <v>188</v>
      </c>
      <c r="BH190">
        <v>7671</v>
      </c>
      <c r="BI190" s="1">
        <v>0.18252473999999999</v>
      </c>
      <c r="BJ190">
        <v>7671</v>
      </c>
      <c r="BK190" s="5">
        <v>57</v>
      </c>
      <c r="BL190">
        <v>7848</v>
      </c>
    </row>
    <row r="191" spans="50:64" x14ac:dyDescent="0.25">
      <c r="AX191">
        <v>189</v>
      </c>
      <c r="AY191">
        <v>8189</v>
      </c>
      <c r="AZ191">
        <f t="shared" si="47"/>
        <v>238.59018195139822</v>
      </c>
      <c r="BA191">
        <f t="shared" si="48"/>
        <v>3.8161028866979178E-3</v>
      </c>
      <c r="BB191">
        <f t="shared" si="49"/>
        <v>0.75790274302181182</v>
      </c>
      <c r="BD191">
        <v>5.7967659999999997E-2</v>
      </c>
      <c r="BE191">
        <v>12</v>
      </c>
      <c r="BF191">
        <v>8159</v>
      </c>
      <c r="BG191" s="5">
        <v>189</v>
      </c>
      <c r="BH191">
        <v>7752</v>
      </c>
      <c r="BI191" s="1">
        <v>0.78303431999999995</v>
      </c>
      <c r="BJ191">
        <v>7752</v>
      </c>
      <c r="BK191" s="5">
        <v>115</v>
      </c>
      <c r="BL191">
        <v>7850</v>
      </c>
    </row>
    <row r="192" spans="50:64" x14ac:dyDescent="0.25">
      <c r="AX192">
        <v>190</v>
      </c>
      <c r="AY192">
        <v>8165</v>
      </c>
      <c r="AZ192">
        <f t="shared" si="47"/>
        <v>239.29148805878751</v>
      </c>
      <c r="BA192">
        <f t="shared" si="48"/>
        <v>3.8273198455810466E-3</v>
      </c>
      <c r="BB192">
        <f t="shared" si="49"/>
        <v>0.76173006286739287</v>
      </c>
      <c r="BD192">
        <v>0.78506248999999995</v>
      </c>
      <c r="BE192">
        <v>120</v>
      </c>
      <c r="BF192">
        <v>8072</v>
      </c>
      <c r="BG192" s="5">
        <v>190</v>
      </c>
      <c r="BH192">
        <v>7648</v>
      </c>
      <c r="BI192" s="1">
        <v>0.66406173000000002</v>
      </c>
      <c r="BJ192">
        <v>7648</v>
      </c>
      <c r="BK192" s="5">
        <v>99</v>
      </c>
      <c r="BL192">
        <v>7852</v>
      </c>
    </row>
    <row r="193" spans="50:64" x14ac:dyDescent="0.25">
      <c r="AX193">
        <v>191</v>
      </c>
      <c r="AY193">
        <v>7820</v>
      </c>
      <c r="AZ193">
        <f t="shared" si="47"/>
        <v>249.84846547314578</v>
      </c>
      <c r="BA193">
        <f t="shared" si="48"/>
        <v>3.9961721917096222E-3</v>
      </c>
      <c r="BB193">
        <f t="shared" si="49"/>
        <v>0.76572623505910253</v>
      </c>
      <c r="BD193">
        <v>0.21040642000000001</v>
      </c>
      <c r="BE193">
        <v>97</v>
      </c>
      <c r="BF193">
        <v>7656</v>
      </c>
      <c r="BG193" s="5">
        <v>191</v>
      </c>
      <c r="BH193">
        <v>7669</v>
      </c>
      <c r="BI193" s="1">
        <v>0.91081106999999994</v>
      </c>
      <c r="BJ193">
        <v>7669</v>
      </c>
      <c r="BK193" s="5">
        <v>101</v>
      </c>
      <c r="BL193">
        <v>7856</v>
      </c>
    </row>
    <row r="194" spans="50:64" x14ac:dyDescent="0.25">
      <c r="AX194">
        <v>192</v>
      </c>
      <c r="AY194">
        <v>8082</v>
      </c>
      <c r="AZ194">
        <f t="shared" si="47"/>
        <v>241.74894828012867</v>
      </c>
      <c r="BA194">
        <f t="shared" si="48"/>
        <v>3.8666254069746656E-3</v>
      </c>
      <c r="BB194">
        <f t="shared" si="49"/>
        <v>0.76959286046607722</v>
      </c>
      <c r="BD194">
        <v>0.30198937999999997</v>
      </c>
      <c r="BE194">
        <v>167</v>
      </c>
      <c r="BF194">
        <v>7705</v>
      </c>
      <c r="BG194" s="5">
        <v>192</v>
      </c>
      <c r="BH194">
        <v>7660</v>
      </c>
      <c r="BI194" s="1">
        <v>0.68856841000000002</v>
      </c>
      <c r="BJ194">
        <v>7660</v>
      </c>
      <c r="BK194" s="5">
        <v>40</v>
      </c>
      <c r="BL194">
        <v>7860</v>
      </c>
    </row>
    <row r="195" spans="50:64" x14ac:dyDescent="0.25">
      <c r="AX195">
        <v>193</v>
      </c>
      <c r="AY195">
        <v>8062</v>
      </c>
      <c r="AZ195">
        <f t="shared" si="47"/>
        <v>242.3486727859092</v>
      </c>
      <c r="BA195">
        <f t="shared" si="48"/>
        <v>3.8762176307577832E-3</v>
      </c>
      <c r="BB195">
        <f t="shared" si="49"/>
        <v>0.77346907809683496</v>
      </c>
      <c r="BD195">
        <v>0.36189628000000001</v>
      </c>
      <c r="BE195">
        <v>98</v>
      </c>
      <c r="BF195">
        <v>7692</v>
      </c>
      <c r="BG195" s="5">
        <v>193</v>
      </c>
      <c r="BH195">
        <v>7500</v>
      </c>
      <c r="BI195" s="1">
        <v>0.23878025999999999</v>
      </c>
      <c r="BJ195">
        <v>7500</v>
      </c>
      <c r="BK195" s="5">
        <v>118</v>
      </c>
      <c r="BL195">
        <v>7861</v>
      </c>
    </row>
    <row r="196" spans="50:64" x14ac:dyDescent="0.25">
      <c r="AX196">
        <v>194</v>
      </c>
      <c r="AY196">
        <v>8213</v>
      </c>
      <c r="AZ196">
        <f t="shared" ref="AZ196:AZ252" si="50">$AY$254/AY196</f>
        <v>237.89297455253865</v>
      </c>
      <c r="BA196">
        <f t="shared" ref="BA196:BA252" si="51">AZ196/$AZ$254</f>
        <v>3.8049514841311635E-3</v>
      </c>
      <c r="BB196">
        <f t="shared" si="49"/>
        <v>0.77727402958096614</v>
      </c>
      <c r="BD196">
        <v>0.86570829000000005</v>
      </c>
      <c r="BE196">
        <v>222</v>
      </c>
      <c r="BF196">
        <v>7791</v>
      </c>
      <c r="BG196" s="5">
        <v>194</v>
      </c>
      <c r="BH196">
        <v>7479</v>
      </c>
      <c r="BI196" s="1">
        <v>0.62519305999999997</v>
      </c>
      <c r="BJ196">
        <v>7479</v>
      </c>
      <c r="BK196" s="5">
        <v>231</v>
      </c>
      <c r="BL196">
        <v>7862</v>
      </c>
    </row>
    <row r="197" spans="50:64" x14ac:dyDescent="0.25">
      <c r="AX197">
        <v>195</v>
      </c>
      <c r="AY197">
        <v>8035</v>
      </c>
      <c r="AZ197">
        <f t="shared" si="50"/>
        <v>243.16303671437461</v>
      </c>
      <c r="BA197">
        <f t="shared" si="51"/>
        <v>3.889242879797044E-3</v>
      </c>
      <c r="BB197">
        <f t="shared" si="49"/>
        <v>0.78116327246076322</v>
      </c>
      <c r="BD197">
        <v>0.2411741</v>
      </c>
      <c r="BE197">
        <v>133</v>
      </c>
      <c r="BF197">
        <v>7595</v>
      </c>
      <c r="BG197" s="5">
        <v>195</v>
      </c>
      <c r="BH197">
        <v>7954</v>
      </c>
      <c r="BI197" s="1">
        <v>0.29230963999999998</v>
      </c>
      <c r="BJ197">
        <v>7954</v>
      </c>
      <c r="BK197" s="5">
        <v>8</v>
      </c>
      <c r="BL197">
        <v>7864</v>
      </c>
    </row>
    <row r="198" spans="50:64" x14ac:dyDescent="0.25">
      <c r="AX198">
        <v>196</v>
      </c>
      <c r="AY198">
        <v>8253</v>
      </c>
      <c r="AZ198">
        <f t="shared" si="50"/>
        <v>236.73997334302678</v>
      </c>
      <c r="BA198">
        <f t="shared" si="51"/>
        <v>3.7865099405269896E-3</v>
      </c>
      <c r="BB198">
        <f t="shared" si="49"/>
        <v>0.78494978240129021</v>
      </c>
      <c r="BD198">
        <v>0.64157109999999995</v>
      </c>
      <c r="BE198">
        <v>64</v>
      </c>
      <c r="BF198">
        <v>7494</v>
      </c>
      <c r="BG198" s="5">
        <v>196</v>
      </c>
      <c r="BH198">
        <v>7735</v>
      </c>
      <c r="BI198" s="1">
        <v>0.99939495</v>
      </c>
      <c r="BJ198">
        <v>7735</v>
      </c>
      <c r="BK198" s="5">
        <v>124</v>
      </c>
      <c r="BL198">
        <v>7865</v>
      </c>
    </row>
    <row r="199" spans="50:64" x14ac:dyDescent="0.25">
      <c r="AX199">
        <v>197</v>
      </c>
      <c r="AY199">
        <v>7816</v>
      </c>
      <c r="AZ199">
        <f t="shared" si="50"/>
        <v>249.97633060388947</v>
      </c>
      <c r="BA199">
        <f t="shared" si="51"/>
        <v>3.9982173156562495E-3</v>
      </c>
      <c r="BB199">
        <f t="shared" si="49"/>
        <v>0.7889479997169464</v>
      </c>
      <c r="BD199">
        <v>0.29749680000000001</v>
      </c>
      <c r="BE199">
        <v>41</v>
      </c>
      <c r="BF199">
        <v>7643</v>
      </c>
      <c r="BG199" s="5">
        <v>197</v>
      </c>
      <c r="BH199">
        <v>7848</v>
      </c>
      <c r="BI199" s="1">
        <v>0.19033384</v>
      </c>
      <c r="BJ199">
        <v>7848</v>
      </c>
      <c r="BK199" s="5">
        <v>21</v>
      </c>
      <c r="BL199">
        <v>7866</v>
      </c>
    </row>
    <row r="200" spans="50:64" x14ac:dyDescent="0.25">
      <c r="AX200">
        <v>198</v>
      </c>
      <c r="AY200">
        <v>7677</v>
      </c>
      <c r="AZ200">
        <f t="shared" si="50"/>
        <v>254.50240979549304</v>
      </c>
      <c r="BA200">
        <f t="shared" si="51"/>
        <v>4.0706091623250286E-3</v>
      </c>
      <c r="BB200">
        <f t="shared" si="49"/>
        <v>0.79301860887927145</v>
      </c>
      <c r="BD200">
        <v>0.44586962000000002</v>
      </c>
      <c r="BE200">
        <v>13</v>
      </c>
      <c r="BF200">
        <v>7597</v>
      </c>
      <c r="BG200" s="5">
        <v>198</v>
      </c>
      <c r="BH200">
        <v>7597</v>
      </c>
      <c r="BI200" s="1">
        <v>0.3684327</v>
      </c>
      <c r="BJ200">
        <v>7597</v>
      </c>
      <c r="BK200" s="5">
        <v>112</v>
      </c>
      <c r="BL200">
        <v>7866</v>
      </c>
    </row>
    <row r="201" spans="50:64" x14ac:dyDescent="0.25">
      <c r="AX201">
        <v>199</v>
      </c>
      <c r="AY201">
        <v>8030</v>
      </c>
      <c r="AZ201">
        <f t="shared" si="50"/>
        <v>243.31444582814447</v>
      </c>
      <c r="BA201">
        <f t="shared" si="51"/>
        <v>3.8916645752390096E-3</v>
      </c>
      <c r="BB201">
        <f t="shared" si="49"/>
        <v>0.79691027345451049</v>
      </c>
      <c r="BD201">
        <v>0.58980142999999996</v>
      </c>
      <c r="BE201">
        <v>27</v>
      </c>
      <c r="BF201">
        <v>7784</v>
      </c>
      <c r="BG201" s="5">
        <v>199</v>
      </c>
      <c r="BH201">
        <v>7679</v>
      </c>
      <c r="BI201" s="1">
        <v>0.51888955000000003</v>
      </c>
      <c r="BJ201">
        <v>7679</v>
      </c>
      <c r="BK201" s="5">
        <v>42</v>
      </c>
      <c r="BL201">
        <v>7867</v>
      </c>
    </row>
    <row r="202" spans="50:64" x14ac:dyDescent="0.25">
      <c r="AX202">
        <v>200</v>
      </c>
      <c r="AY202">
        <v>7883</v>
      </c>
      <c r="AZ202">
        <f t="shared" si="50"/>
        <v>247.85170620322214</v>
      </c>
      <c r="BA202">
        <f t="shared" si="51"/>
        <v>3.9642352580450653E-3</v>
      </c>
      <c r="BB202">
        <f t="shared" si="49"/>
        <v>0.8008745087125555</v>
      </c>
      <c r="BD202">
        <v>0.57835513000000005</v>
      </c>
      <c r="BE202">
        <v>158</v>
      </c>
      <c r="BF202">
        <v>7851</v>
      </c>
      <c r="BG202" s="5">
        <v>200</v>
      </c>
      <c r="BH202">
        <v>7768</v>
      </c>
      <c r="BI202" s="1">
        <v>0.20075876000000001</v>
      </c>
      <c r="BJ202">
        <v>7768</v>
      </c>
      <c r="BK202" s="5">
        <v>159</v>
      </c>
      <c r="BL202">
        <v>7867</v>
      </c>
    </row>
    <row r="203" spans="50:64" x14ac:dyDescent="0.25">
      <c r="AX203">
        <v>201</v>
      </c>
      <c r="AY203">
        <v>7977</v>
      </c>
      <c r="AZ203">
        <f t="shared" si="50"/>
        <v>244.93105177384982</v>
      </c>
      <c r="BA203">
        <f t="shared" si="51"/>
        <v>3.917521190819763E-3</v>
      </c>
      <c r="BB203">
        <f t="shared" si="49"/>
        <v>0.80479202990337528</v>
      </c>
      <c r="BD203">
        <v>0.78914666</v>
      </c>
      <c r="BE203">
        <v>179</v>
      </c>
      <c r="BF203">
        <v>7612</v>
      </c>
      <c r="BG203" s="5">
        <v>201</v>
      </c>
      <c r="BH203">
        <v>7830</v>
      </c>
      <c r="BI203" s="1">
        <v>0.19293188999999999</v>
      </c>
      <c r="BJ203">
        <v>7830</v>
      </c>
      <c r="BK203" s="5">
        <v>55</v>
      </c>
      <c r="BL203">
        <v>7872</v>
      </c>
    </row>
    <row r="204" spans="50:64" x14ac:dyDescent="0.25">
      <c r="AX204">
        <v>202</v>
      </c>
      <c r="AY204">
        <v>7917</v>
      </c>
      <c r="AZ204">
        <f t="shared" si="50"/>
        <v>246.78729316660352</v>
      </c>
      <c r="BA204">
        <f t="shared" si="51"/>
        <v>3.9472106276581091E-3</v>
      </c>
      <c r="BB204">
        <f t="shared" si="49"/>
        <v>0.80873924053103341</v>
      </c>
      <c r="BD204">
        <v>0.31491416999999999</v>
      </c>
      <c r="BE204">
        <v>143</v>
      </c>
      <c r="BF204">
        <v>7590</v>
      </c>
      <c r="BG204" s="5">
        <v>202</v>
      </c>
      <c r="BH204">
        <v>7865</v>
      </c>
      <c r="BI204" s="1">
        <v>0.7905702</v>
      </c>
      <c r="BJ204">
        <v>7865</v>
      </c>
      <c r="BK204" s="5">
        <v>160</v>
      </c>
      <c r="BL204">
        <v>7879</v>
      </c>
    </row>
    <row r="205" spans="50:64" x14ac:dyDescent="0.25">
      <c r="AX205">
        <v>203</v>
      </c>
      <c r="AY205">
        <v>8173</v>
      </c>
      <c r="AZ205">
        <f t="shared" si="50"/>
        <v>239.05726171540439</v>
      </c>
      <c r="BA205">
        <f t="shared" si="51"/>
        <v>3.8235735396022572E-3</v>
      </c>
      <c r="BB205">
        <f t="shared" si="49"/>
        <v>0.81256281407063569</v>
      </c>
      <c r="BD205">
        <v>0.20068538</v>
      </c>
      <c r="BE205">
        <v>167</v>
      </c>
      <c r="BF205">
        <v>7705</v>
      </c>
      <c r="BG205" s="5">
        <v>203</v>
      </c>
      <c r="BH205">
        <v>7887</v>
      </c>
      <c r="BI205" s="1">
        <v>0.21268213</v>
      </c>
      <c r="BJ205">
        <v>7887</v>
      </c>
      <c r="BK205" s="5">
        <v>49</v>
      </c>
      <c r="BL205">
        <v>7879</v>
      </c>
    </row>
    <row r="206" spans="50:64" x14ac:dyDescent="0.25">
      <c r="AX206">
        <v>204</v>
      </c>
      <c r="AY206">
        <v>7934</v>
      </c>
      <c r="AZ206">
        <f t="shared" si="50"/>
        <v>246.25850768842955</v>
      </c>
      <c r="BA206">
        <f t="shared" si="51"/>
        <v>3.9387530298927711E-3</v>
      </c>
      <c r="BB206">
        <f t="shared" si="49"/>
        <v>0.81650156710052846</v>
      </c>
      <c r="BD206">
        <v>0.34165055</v>
      </c>
      <c r="BE206">
        <v>131</v>
      </c>
      <c r="BF206">
        <v>7945</v>
      </c>
      <c r="BG206" s="5">
        <v>204</v>
      </c>
      <c r="BH206">
        <v>7730</v>
      </c>
      <c r="BI206" s="1">
        <v>0.48876577999999998</v>
      </c>
      <c r="BJ206">
        <v>7730</v>
      </c>
      <c r="BK206" s="5">
        <v>164</v>
      </c>
      <c r="BL206">
        <v>7879</v>
      </c>
    </row>
    <row r="207" spans="50:64" x14ac:dyDescent="0.25">
      <c r="AX207">
        <v>205</v>
      </c>
      <c r="AY207">
        <v>7890</v>
      </c>
      <c r="AZ207">
        <f t="shared" si="50"/>
        <v>247.63181242078579</v>
      </c>
      <c r="BA207">
        <f t="shared" si="51"/>
        <v>3.9607181925436306E-3</v>
      </c>
      <c r="BB207">
        <f t="shared" si="49"/>
        <v>0.82046228529307208</v>
      </c>
      <c r="BD207">
        <v>0.96141863000000005</v>
      </c>
      <c r="BE207">
        <v>197</v>
      </c>
      <c r="BF207">
        <v>7816</v>
      </c>
      <c r="BG207" s="5">
        <v>205</v>
      </c>
      <c r="BH207">
        <v>7695</v>
      </c>
      <c r="BI207" s="1">
        <v>0.47075653000000001</v>
      </c>
      <c r="BJ207">
        <v>7695</v>
      </c>
      <c r="BK207" s="5">
        <v>217</v>
      </c>
      <c r="BL207">
        <v>7881</v>
      </c>
    </row>
    <row r="208" spans="50:64" x14ac:dyDescent="0.25">
      <c r="AX208">
        <v>206</v>
      </c>
      <c r="AY208">
        <v>7792</v>
      </c>
      <c r="AZ208">
        <f t="shared" si="50"/>
        <v>250.74627823408625</v>
      </c>
      <c r="BA208">
        <f t="shared" si="51"/>
        <v>4.0105321533841437E-3</v>
      </c>
      <c r="BB208">
        <f t="shared" si="49"/>
        <v>0.82447281744645617</v>
      </c>
      <c r="BD208">
        <v>0.66162365999999995</v>
      </c>
      <c r="BE208">
        <v>32</v>
      </c>
      <c r="BF208">
        <v>7781</v>
      </c>
      <c r="BG208" s="5">
        <v>206</v>
      </c>
      <c r="BH208">
        <v>7770</v>
      </c>
      <c r="BI208" s="1">
        <v>0.78155916999999997</v>
      </c>
      <c r="BJ208">
        <v>7770</v>
      </c>
      <c r="BK208" s="5">
        <v>54</v>
      </c>
      <c r="BL208">
        <v>7884</v>
      </c>
    </row>
    <row r="209" spans="50:64" x14ac:dyDescent="0.25">
      <c r="AX209">
        <v>207</v>
      </c>
      <c r="AY209">
        <v>7741</v>
      </c>
      <c r="AZ209">
        <f t="shared" si="50"/>
        <v>252.39826895749903</v>
      </c>
      <c r="BA209">
        <f t="shared" si="51"/>
        <v>4.0369547266721675E-3</v>
      </c>
      <c r="BB209">
        <f t="shared" si="49"/>
        <v>0.82850977217312838</v>
      </c>
      <c r="BD209">
        <v>0.81998073999999999</v>
      </c>
      <c r="BE209">
        <v>211</v>
      </c>
      <c r="BF209">
        <v>7970</v>
      </c>
      <c r="BG209" s="5">
        <v>207</v>
      </c>
      <c r="BH209">
        <v>7593</v>
      </c>
      <c r="BI209" s="2">
        <v>1.6326549999999999E-2</v>
      </c>
      <c r="BJ209">
        <v>7647</v>
      </c>
      <c r="BK209" s="5">
        <v>235</v>
      </c>
      <c r="BL209">
        <v>7887</v>
      </c>
    </row>
    <row r="210" spans="50:64" x14ac:dyDescent="0.25">
      <c r="AX210">
        <v>208</v>
      </c>
      <c r="AY210">
        <v>7921</v>
      </c>
      <c r="AZ210">
        <f t="shared" si="50"/>
        <v>246.66266885494255</v>
      </c>
      <c r="BA210">
        <f t="shared" si="51"/>
        <v>3.9452173386149789E-3</v>
      </c>
      <c r="BB210">
        <f t="shared" si="49"/>
        <v>0.83245498951174335</v>
      </c>
      <c r="BD210">
        <v>0.75549299000000003</v>
      </c>
      <c r="BE210">
        <v>164</v>
      </c>
      <c r="BF210">
        <v>7609</v>
      </c>
      <c r="BG210" s="5">
        <v>208</v>
      </c>
      <c r="BH210">
        <v>7739</v>
      </c>
      <c r="BI210" s="1">
        <v>0.67764228999999998</v>
      </c>
      <c r="BJ210">
        <v>7739</v>
      </c>
      <c r="BK210" s="5">
        <v>84</v>
      </c>
      <c r="BL210">
        <v>7892</v>
      </c>
    </row>
    <row r="211" spans="50:64" x14ac:dyDescent="0.25">
      <c r="AX211">
        <v>209</v>
      </c>
      <c r="AY211">
        <v>8075</v>
      </c>
      <c r="AZ211">
        <f t="shared" si="50"/>
        <v>241.95851393188855</v>
      </c>
      <c r="BA211">
        <f t="shared" si="51"/>
        <v>3.8699772803924763E-3</v>
      </c>
      <c r="BB211">
        <f t="shared" si="49"/>
        <v>0.83632496679213586</v>
      </c>
      <c r="BD211">
        <v>0.15470576</v>
      </c>
      <c r="BE211">
        <v>27</v>
      </c>
      <c r="BF211">
        <v>7784</v>
      </c>
      <c r="BG211" s="5">
        <v>209</v>
      </c>
      <c r="BH211">
        <v>7896</v>
      </c>
      <c r="BI211" s="1">
        <v>0.23359478</v>
      </c>
      <c r="BJ211">
        <v>7896</v>
      </c>
      <c r="BK211" s="5">
        <v>83</v>
      </c>
      <c r="BL211">
        <v>7893</v>
      </c>
    </row>
    <row r="212" spans="50:64" x14ac:dyDescent="0.25">
      <c r="AX212">
        <v>210</v>
      </c>
      <c r="AY212">
        <v>7877</v>
      </c>
      <c r="AZ212">
        <f t="shared" si="50"/>
        <v>248.04049765139013</v>
      </c>
      <c r="BA212">
        <f t="shared" si="51"/>
        <v>3.9672548608822205E-3</v>
      </c>
      <c r="BB212">
        <f t="shared" si="49"/>
        <v>0.84029222165301809</v>
      </c>
      <c r="BD212">
        <v>2.7318889999999998E-2</v>
      </c>
      <c r="BE212">
        <v>72</v>
      </c>
      <c r="BF212">
        <v>7592</v>
      </c>
      <c r="BG212" s="5">
        <v>210</v>
      </c>
      <c r="BH212">
        <v>7777</v>
      </c>
      <c r="BI212" s="1">
        <v>0.87964112000000005</v>
      </c>
      <c r="BJ212">
        <v>7777</v>
      </c>
      <c r="BK212" s="5">
        <v>69</v>
      </c>
      <c r="BL212">
        <v>7895</v>
      </c>
    </row>
    <row r="213" spans="50:64" x14ac:dyDescent="0.25">
      <c r="AX213">
        <v>211</v>
      </c>
      <c r="AY213">
        <v>7970</v>
      </c>
      <c r="AZ213">
        <f t="shared" si="50"/>
        <v>245.1461731493099</v>
      </c>
      <c r="BA213">
        <f t="shared" si="51"/>
        <v>3.9209619246134558E-3</v>
      </c>
      <c r="BB213">
        <f t="shared" si="49"/>
        <v>0.84421318357763153</v>
      </c>
      <c r="BD213">
        <v>0.13622509999999999</v>
      </c>
      <c r="BE213">
        <v>98</v>
      </c>
      <c r="BF213">
        <v>7692</v>
      </c>
      <c r="BG213" s="5">
        <v>211</v>
      </c>
      <c r="BH213">
        <v>7748</v>
      </c>
      <c r="BI213" s="1">
        <v>0.43729066999999999</v>
      </c>
      <c r="BJ213">
        <v>7748</v>
      </c>
      <c r="BK213" s="5">
        <v>188</v>
      </c>
      <c r="BL213">
        <v>7896</v>
      </c>
    </row>
    <row r="214" spans="50:64" x14ac:dyDescent="0.25">
      <c r="AX214">
        <v>212</v>
      </c>
      <c r="AY214">
        <v>7908</v>
      </c>
      <c r="AZ214">
        <f t="shared" si="50"/>
        <v>247.0681588265048</v>
      </c>
      <c r="BA214">
        <f t="shared" si="51"/>
        <v>3.9517029007548367E-3</v>
      </c>
      <c r="BB214">
        <f t="shared" si="49"/>
        <v>0.84816488647838639</v>
      </c>
      <c r="BD214">
        <v>0.81676965999999995</v>
      </c>
      <c r="BE214">
        <v>92</v>
      </c>
      <c r="BF214">
        <v>7694</v>
      </c>
      <c r="BG214" s="5">
        <v>212</v>
      </c>
      <c r="BH214">
        <v>7759</v>
      </c>
      <c r="BI214" s="1">
        <v>0.96447629000000001</v>
      </c>
      <c r="BJ214">
        <v>7759</v>
      </c>
      <c r="BK214" s="5">
        <v>66</v>
      </c>
      <c r="BL214">
        <v>7905</v>
      </c>
    </row>
    <row r="215" spans="50:64" x14ac:dyDescent="0.25">
      <c r="AX215">
        <v>213</v>
      </c>
      <c r="AY215">
        <v>7791</v>
      </c>
      <c r="AZ215">
        <f t="shared" si="50"/>
        <v>250.77846232832755</v>
      </c>
      <c r="BA215">
        <f t="shared" si="51"/>
        <v>4.0110469181323634E-3</v>
      </c>
      <c r="BB215">
        <f t="shared" si="49"/>
        <v>0.85217593339651876</v>
      </c>
      <c r="BD215">
        <v>0.19084644000000001</v>
      </c>
      <c r="BE215">
        <v>55</v>
      </c>
      <c r="BF215">
        <v>7728</v>
      </c>
      <c r="BG215" s="5">
        <v>213</v>
      </c>
      <c r="BH215">
        <v>7612</v>
      </c>
      <c r="BI215" s="1">
        <v>0.72001660000000001</v>
      </c>
      <c r="BJ215">
        <v>7612</v>
      </c>
      <c r="BK215" s="5">
        <v>155</v>
      </c>
      <c r="BL215">
        <v>7907</v>
      </c>
    </row>
    <row r="216" spans="50:64" x14ac:dyDescent="0.25">
      <c r="AX216">
        <v>214</v>
      </c>
      <c r="AY216">
        <v>7854</v>
      </c>
      <c r="AZ216">
        <f t="shared" si="50"/>
        <v>248.76687038451743</v>
      </c>
      <c r="BA216">
        <f t="shared" si="51"/>
        <v>3.9788727449922645E-3</v>
      </c>
      <c r="BB216">
        <f t="shared" si="49"/>
        <v>0.85615480614151107</v>
      </c>
      <c r="BD216">
        <v>0.50898474000000005</v>
      </c>
      <c r="BE216">
        <v>8</v>
      </c>
      <c r="BF216">
        <v>7619</v>
      </c>
      <c r="BG216" s="5">
        <v>214</v>
      </c>
      <c r="BH216">
        <v>7706</v>
      </c>
      <c r="BI216" s="1">
        <v>0.62960415999999997</v>
      </c>
      <c r="BJ216">
        <v>7706</v>
      </c>
      <c r="BK216" s="5">
        <v>63</v>
      </c>
      <c r="BL216">
        <v>7908</v>
      </c>
    </row>
    <row r="217" spans="50:64" x14ac:dyDescent="0.25">
      <c r="AX217">
        <v>215</v>
      </c>
      <c r="AY217">
        <v>7781</v>
      </c>
      <c r="AZ217">
        <f t="shared" si="50"/>
        <v>251.10075825729342</v>
      </c>
      <c r="BA217">
        <f t="shared" si="51"/>
        <v>4.0162018428440112E-3</v>
      </c>
      <c r="BB217">
        <f t="shared" si="49"/>
        <v>0.86017100798435508</v>
      </c>
      <c r="BD217">
        <v>0.17096388000000001</v>
      </c>
      <c r="BE217">
        <v>8</v>
      </c>
      <c r="BF217">
        <v>7619</v>
      </c>
      <c r="BG217" s="5">
        <v>215</v>
      </c>
      <c r="BH217">
        <v>7884</v>
      </c>
      <c r="BI217" s="1">
        <v>0.80971599000000005</v>
      </c>
      <c r="BJ217">
        <v>7884</v>
      </c>
      <c r="BK217" s="5">
        <v>47</v>
      </c>
      <c r="BL217">
        <v>7908</v>
      </c>
    </row>
    <row r="218" spans="50:64" x14ac:dyDescent="0.25">
      <c r="AX218">
        <v>216</v>
      </c>
      <c r="AY218">
        <v>7984</v>
      </c>
      <c r="AZ218">
        <f t="shared" si="50"/>
        <v>244.71630761523045</v>
      </c>
      <c r="BA218">
        <f t="shared" si="51"/>
        <v>3.9140864903769099E-3</v>
      </c>
      <c r="BB218">
        <f t="shared" si="49"/>
        <v>0.86408509447473203</v>
      </c>
      <c r="BD218">
        <v>0.52334433999999996</v>
      </c>
      <c r="BE218">
        <v>45</v>
      </c>
      <c r="BF218">
        <v>7651</v>
      </c>
      <c r="BG218" s="5">
        <v>216</v>
      </c>
      <c r="BH218">
        <v>7779</v>
      </c>
      <c r="BI218" s="1">
        <v>0.23025697000000001</v>
      </c>
      <c r="BJ218">
        <v>7779</v>
      </c>
      <c r="BK218" s="5">
        <v>81</v>
      </c>
      <c r="BL218">
        <v>7909</v>
      </c>
    </row>
    <row r="219" spans="50:64" x14ac:dyDescent="0.25">
      <c r="AX219">
        <v>217</v>
      </c>
      <c r="AY219">
        <v>7640</v>
      </c>
      <c r="AZ219">
        <f t="shared" si="50"/>
        <v>255.73494764397907</v>
      </c>
      <c r="BA219">
        <f t="shared" si="51"/>
        <v>4.0903228454410015E-3</v>
      </c>
      <c r="BB219">
        <f t="shared" si="49"/>
        <v>0.868175417320173</v>
      </c>
      <c r="BD219">
        <v>0.88874936000000004</v>
      </c>
      <c r="BE219">
        <v>74</v>
      </c>
      <c r="BF219">
        <v>7591</v>
      </c>
      <c r="BG219" s="5">
        <v>217</v>
      </c>
      <c r="BH219">
        <v>7633</v>
      </c>
      <c r="BI219" s="2">
        <v>2.3504609999999999E-2</v>
      </c>
      <c r="BJ219">
        <v>7636</v>
      </c>
      <c r="BK219" s="5">
        <v>135</v>
      </c>
      <c r="BL219">
        <v>7909</v>
      </c>
    </row>
    <row r="220" spans="50:64" x14ac:dyDescent="0.25">
      <c r="AX220">
        <v>218</v>
      </c>
      <c r="AY220">
        <v>7958</v>
      </c>
      <c r="AZ220">
        <f t="shared" si="50"/>
        <v>245.51583312390048</v>
      </c>
      <c r="BA220">
        <f t="shared" si="51"/>
        <v>3.9268744080383569E-3</v>
      </c>
      <c r="BB220">
        <f t="shared" si="49"/>
        <v>0.87210229172821141</v>
      </c>
      <c r="BD220">
        <v>0.21239512999999999</v>
      </c>
      <c r="BE220">
        <v>222</v>
      </c>
      <c r="BF220">
        <v>7791</v>
      </c>
      <c r="BG220" s="5">
        <v>218</v>
      </c>
      <c r="BH220">
        <v>7569</v>
      </c>
      <c r="BI220" s="1">
        <v>0.36884421000000001</v>
      </c>
      <c r="BJ220">
        <v>7569</v>
      </c>
      <c r="BK220" s="5">
        <v>192</v>
      </c>
      <c r="BL220">
        <v>7912</v>
      </c>
    </row>
    <row r="221" spans="50:64" x14ac:dyDescent="0.25">
      <c r="AX221">
        <v>219</v>
      </c>
      <c r="AY221">
        <v>7718</v>
      </c>
      <c r="AZ221">
        <f t="shared" si="50"/>
        <v>253.15042757190983</v>
      </c>
      <c r="BA221">
        <f t="shared" si="51"/>
        <v>4.0489850400582082E-3</v>
      </c>
      <c r="BB221">
        <f t="shared" si="49"/>
        <v>0.87615127676826965</v>
      </c>
      <c r="BD221">
        <v>0.91937530000000001</v>
      </c>
      <c r="BE221">
        <v>58</v>
      </c>
      <c r="BF221">
        <v>7974</v>
      </c>
      <c r="BG221" s="5">
        <v>219</v>
      </c>
      <c r="BH221">
        <v>7742</v>
      </c>
      <c r="BI221" s="1">
        <v>0.77497923000000002</v>
      </c>
      <c r="BJ221">
        <v>7742</v>
      </c>
      <c r="BK221" s="5">
        <v>108</v>
      </c>
      <c r="BL221">
        <v>7917</v>
      </c>
    </row>
    <row r="222" spans="50:64" x14ac:dyDescent="0.25">
      <c r="AX222">
        <v>220</v>
      </c>
      <c r="AY222">
        <v>7774</v>
      </c>
      <c r="AZ222">
        <f t="shared" si="50"/>
        <v>251.32685875996913</v>
      </c>
      <c r="BA222">
        <f t="shared" si="51"/>
        <v>4.0198181810096791E-3</v>
      </c>
      <c r="BB222">
        <f t="shared" si="49"/>
        <v>0.88017109494927936</v>
      </c>
      <c r="BD222">
        <v>0.95218234999999996</v>
      </c>
      <c r="BE222">
        <v>98</v>
      </c>
      <c r="BF222">
        <v>7692</v>
      </c>
      <c r="BG222" s="5">
        <v>220</v>
      </c>
      <c r="BH222">
        <v>7927</v>
      </c>
      <c r="BI222" s="1">
        <v>0.16051704</v>
      </c>
      <c r="BJ222">
        <v>7927</v>
      </c>
      <c r="BK222" s="5">
        <v>14</v>
      </c>
      <c r="BL222">
        <v>7917</v>
      </c>
    </row>
    <row r="223" spans="50:64" x14ac:dyDescent="0.25">
      <c r="AX223">
        <v>221</v>
      </c>
      <c r="AY223">
        <v>7897</v>
      </c>
      <c r="AZ223">
        <f t="shared" si="50"/>
        <v>247.41230847157149</v>
      </c>
      <c r="BA223">
        <f t="shared" si="51"/>
        <v>3.957207362184279E-3</v>
      </c>
      <c r="BB223">
        <f t="shared" si="49"/>
        <v>0.88412830231146367</v>
      </c>
      <c r="BD223">
        <v>0.83001851999999998</v>
      </c>
      <c r="BE223">
        <v>165</v>
      </c>
      <c r="BF223">
        <v>7719</v>
      </c>
      <c r="BG223" s="5">
        <v>221</v>
      </c>
      <c r="BH223">
        <v>7605</v>
      </c>
      <c r="BI223" s="1">
        <v>0.62957501000000005</v>
      </c>
      <c r="BJ223">
        <v>7605</v>
      </c>
      <c r="BK223" s="5">
        <v>50</v>
      </c>
      <c r="BL223">
        <v>7919</v>
      </c>
    </row>
    <row r="224" spans="50:64" x14ac:dyDescent="0.25">
      <c r="AX224">
        <v>222</v>
      </c>
      <c r="AY224">
        <v>7791</v>
      </c>
      <c r="AZ224">
        <f t="shared" si="50"/>
        <v>250.77846232832755</v>
      </c>
      <c r="BA224">
        <f t="shared" si="51"/>
        <v>4.0110469181323634E-3</v>
      </c>
      <c r="BB224">
        <f t="shared" si="49"/>
        <v>0.88813934922959603</v>
      </c>
      <c r="BD224">
        <v>0.95523804000000001</v>
      </c>
      <c r="BE224">
        <v>52</v>
      </c>
      <c r="BF224">
        <v>7658</v>
      </c>
      <c r="BG224" s="5">
        <v>222</v>
      </c>
      <c r="BH224">
        <v>7865</v>
      </c>
      <c r="BI224" s="2">
        <v>3.288692E-2</v>
      </c>
      <c r="BJ224">
        <v>7881</v>
      </c>
      <c r="BK224" s="5">
        <v>228</v>
      </c>
      <c r="BL224">
        <v>7926</v>
      </c>
    </row>
    <row r="225" spans="50:64" x14ac:dyDescent="0.25">
      <c r="AX225">
        <v>223</v>
      </c>
      <c r="AY225">
        <v>7993</v>
      </c>
      <c r="AZ225">
        <f t="shared" si="50"/>
        <v>244.44076066558239</v>
      </c>
      <c r="BA225">
        <f t="shared" si="51"/>
        <v>3.9096792867720819E-3</v>
      </c>
      <c r="BB225">
        <f t="shared" si="49"/>
        <v>0.89204902851636814</v>
      </c>
      <c r="BD225">
        <v>0.24089538999999999</v>
      </c>
      <c r="BE225">
        <v>26</v>
      </c>
      <c r="BF225">
        <v>7680</v>
      </c>
      <c r="BG225" s="5">
        <v>223</v>
      </c>
      <c r="BH225">
        <v>7646</v>
      </c>
      <c r="BI225" s="1">
        <v>0.19627142</v>
      </c>
      <c r="BJ225">
        <v>7646</v>
      </c>
      <c r="BK225" s="5">
        <v>219</v>
      </c>
      <c r="BL225">
        <v>7927</v>
      </c>
    </row>
    <row r="226" spans="50:64" x14ac:dyDescent="0.25">
      <c r="AX226">
        <v>224</v>
      </c>
      <c r="AY226">
        <v>7792</v>
      </c>
      <c r="AZ226">
        <f t="shared" si="50"/>
        <v>250.74627823408625</v>
      </c>
      <c r="BA226">
        <f t="shared" si="51"/>
        <v>4.0105321533841437E-3</v>
      </c>
      <c r="BB226">
        <f t="shared" si="49"/>
        <v>0.89605956066975223</v>
      </c>
      <c r="BD226">
        <v>0.58747559999999999</v>
      </c>
      <c r="BE226">
        <v>9</v>
      </c>
      <c r="BF226">
        <v>7925</v>
      </c>
      <c r="BG226" s="5">
        <v>224</v>
      </c>
      <c r="BH226">
        <v>7732</v>
      </c>
      <c r="BI226" s="1">
        <v>0.33694809999999997</v>
      </c>
      <c r="BJ226">
        <v>7732</v>
      </c>
      <c r="BK226" s="5">
        <v>216</v>
      </c>
      <c r="BL226">
        <v>7929</v>
      </c>
    </row>
    <row r="227" spans="50:64" x14ac:dyDescent="0.25">
      <c r="AX227">
        <v>225</v>
      </c>
      <c r="AY227">
        <v>8046</v>
      </c>
      <c r="AZ227">
        <f t="shared" si="50"/>
        <v>242.83059905543126</v>
      </c>
      <c r="BA227">
        <f t="shared" si="51"/>
        <v>3.8839257443660509E-3</v>
      </c>
      <c r="BB227">
        <f t="shared" si="49"/>
        <v>0.89994348641411825</v>
      </c>
      <c r="BD227">
        <v>0.37457824000000001</v>
      </c>
      <c r="BE227">
        <v>170</v>
      </c>
      <c r="BF227">
        <v>7681</v>
      </c>
      <c r="BG227" s="5">
        <v>225</v>
      </c>
      <c r="BH227">
        <v>7872</v>
      </c>
      <c r="BI227" s="1">
        <v>0.65435898000000003</v>
      </c>
      <c r="BJ227">
        <v>7872</v>
      </c>
      <c r="BK227" s="5">
        <v>162</v>
      </c>
      <c r="BL227">
        <v>7931</v>
      </c>
    </row>
    <row r="228" spans="50:64" x14ac:dyDescent="0.25">
      <c r="AX228">
        <v>226</v>
      </c>
      <c r="AY228">
        <v>7978</v>
      </c>
      <c r="AZ228">
        <f t="shared" si="50"/>
        <v>244.90035096515416</v>
      </c>
      <c r="BA228">
        <f t="shared" si="51"/>
        <v>3.9170301503095072E-3</v>
      </c>
      <c r="BB228">
        <f t="shared" si="49"/>
        <v>0.90386051656442779</v>
      </c>
      <c r="BD228">
        <v>0.22024052999999999</v>
      </c>
      <c r="BE228">
        <v>50</v>
      </c>
      <c r="BF228">
        <v>7717</v>
      </c>
      <c r="BG228" s="5">
        <v>226</v>
      </c>
      <c r="BH228">
        <v>7991</v>
      </c>
      <c r="BI228" s="1">
        <v>0.67130356999999996</v>
      </c>
      <c r="BJ228">
        <v>7991</v>
      </c>
      <c r="BK228" s="5">
        <v>114</v>
      </c>
      <c r="BL228">
        <v>7935</v>
      </c>
    </row>
    <row r="229" spans="50:64" x14ac:dyDescent="0.25">
      <c r="AX229">
        <v>227</v>
      </c>
      <c r="AY229">
        <v>7957</v>
      </c>
      <c r="AZ229">
        <f t="shared" si="50"/>
        <v>245.54668845042102</v>
      </c>
      <c r="BA229">
        <f t="shared" si="51"/>
        <v>3.9273679199659734E-3</v>
      </c>
      <c r="BB229">
        <f t="shared" si="49"/>
        <v>0.90778788448439374</v>
      </c>
      <c r="BD229">
        <v>0.99984300000000004</v>
      </c>
      <c r="BE229">
        <v>187</v>
      </c>
      <c r="BF229">
        <v>7701</v>
      </c>
      <c r="BG229" s="5">
        <v>227</v>
      </c>
      <c r="BH229">
        <v>7912</v>
      </c>
      <c r="BI229" s="1">
        <v>0.15043807000000001</v>
      </c>
      <c r="BJ229">
        <v>7912</v>
      </c>
      <c r="BK229" s="5">
        <v>70</v>
      </c>
      <c r="BL229">
        <v>7939</v>
      </c>
    </row>
    <row r="230" spans="50:64" x14ac:dyDescent="0.25">
      <c r="AX230">
        <v>228</v>
      </c>
      <c r="AY230">
        <v>7807</v>
      </c>
      <c r="AZ230">
        <f t="shared" si="50"/>
        <v>250.2645062123735</v>
      </c>
      <c r="BA230">
        <f t="shared" si="51"/>
        <v>4.0028265068745034E-3</v>
      </c>
      <c r="BB230">
        <f t="shared" si="49"/>
        <v>0.91179071099126829</v>
      </c>
      <c r="BD230">
        <v>0.89876752999999998</v>
      </c>
      <c r="BE230">
        <v>54</v>
      </c>
      <c r="BF230">
        <v>7647</v>
      </c>
      <c r="BG230" s="5">
        <v>228</v>
      </c>
      <c r="BH230">
        <v>7663</v>
      </c>
      <c r="BI230" s="1">
        <v>0.81062979000000002</v>
      </c>
      <c r="BJ230">
        <v>7663</v>
      </c>
      <c r="BK230" s="5">
        <v>230</v>
      </c>
      <c r="BL230">
        <v>7940</v>
      </c>
    </row>
    <row r="231" spans="50:64" x14ac:dyDescent="0.25">
      <c r="AX231">
        <v>229</v>
      </c>
      <c r="AY231">
        <v>7924</v>
      </c>
      <c r="AZ231">
        <f t="shared" si="50"/>
        <v>246.56928319030791</v>
      </c>
      <c r="BA231">
        <f t="shared" si="51"/>
        <v>3.943723692474665E-3</v>
      </c>
      <c r="BB231">
        <f t="shared" ref="BB231:BB252" si="52">BB230+BA231</f>
        <v>0.91573443468374294</v>
      </c>
      <c r="BD231">
        <v>0.92629813999999999</v>
      </c>
      <c r="BE231">
        <v>57</v>
      </c>
      <c r="BF231">
        <v>7408</v>
      </c>
      <c r="BG231" s="5">
        <v>229</v>
      </c>
      <c r="BH231">
        <v>7521</v>
      </c>
      <c r="BI231" s="1">
        <v>0.474769</v>
      </c>
      <c r="BJ231">
        <v>7521</v>
      </c>
      <c r="BK231" s="5">
        <v>96</v>
      </c>
      <c r="BL231">
        <v>7941</v>
      </c>
    </row>
    <row r="232" spans="50:64" x14ac:dyDescent="0.25">
      <c r="AX232">
        <v>230</v>
      </c>
      <c r="AY232">
        <v>7877</v>
      </c>
      <c r="AZ232">
        <f t="shared" si="50"/>
        <v>248.04049765139013</v>
      </c>
      <c r="BA232">
        <f t="shared" si="51"/>
        <v>3.9672548608822205E-3</v>
      </c>
      <c r="BB232">
        <f t="shared" si="52"/>
        <v>0.91970168954462517</v>
      </c>
      <c r="BD232">
        <v>0.35829370999999999</v>
      </c>
      <c r="BE232">
        <v>112</v>
      </c>
      <c r="BF232">
        <v>7790</v>
      </c>
      <c r="BG232" s="5">
        <v>230</v>
      </c>
      <c r="BH232">
        <v>7926</v>
      </c>
      <c r="BI232" s="1">
        <v>0.73570829999999998</v>
      </c>
      <c r="BJ232">
        <v>7926</v>
      </c>
      <c r="BK232" s="5">
        <v>211</v>
      </c>
      <c r="BL232">
        <v>7943</v>
      </c>
    </row>
    <row r="233" spans="50:64" x14ac:dyDescent="0.25">
      <c r="AX233">
        <v>231</v>
      </c>
      <c r="AY233">
        <v>7816</v>
      </c>
      <c r="AZ233">
        <f t="shared" si="50"/>
        <v>249.97633060388947</v>
      </c>
      <c r="BA233">
        <f t="shared" si="51"/>
        <v>3.9982173156562495E-3</v>
      </c>
      <c r="BB233">
        <f t="shared" si="52"/>
        <v>0.92369990686028136</v>
      </c>
      <c r="BD233">
        <v>0.45604478999999998</v>
      </c>
      <c r="BE233">
        <v>57</v>
      </c>
      <c r="BF233">
        <v>7408</v>
      </c>
      <c r="BG233" s="5">
        <v>231</v>
      </c>
      <c r="BH233">
        <v>7769</v>
      </c>
      <c r="BI233" s="1">
        <v>0.63031959999999998</v>
      </c>
      <c r="BJ233">
        <v>7769</v>
      </c>
      <c r="BK233" s="5">
        <v>138</v>
      </c>
      <c r="BL233">
        <v>7947</v>
      </c>
    </row>
    <row r="234" spans="50:64" x14ac:dyDescent="0.25">
      <c r="AX234">
        <v>232</v>
      </c>
      <c r="AY234">
        <v>7810</v>
      </c>
      <c r="AZ234">
        <f t="shared" si="50"/>
        <v>250.16837387964148</v>
      </c>
      <c r="BA234">
        <f t="shared" si="51"/>
        <v>4.0012889294710943E-3</v>
      </c>
      <c r="BB234">
        <f t="shared" si="52"/>
        <v>0.92770119578975241</v>
      </c>
      <c r="BD234">
        <v>0.16907817</v>
      </c>
      <c r="BE234">
        <v>26</v>
      </c>
      <c r="BF234">
        <v>7680</v>
      </c>
      <c r="BG234" s="5">
        <v>232</v>
      </c>
      <c r="BH234">
        <v>7895</v>
      </c>
      <c r="BI234" s="1">
        <v>0.60169810000000001</v>
      </c>
      <c r="BJ234">
        <v>7895</v>
      </c>
      <c r="BK234" s="5">
        <v>29</v>
      </c>
      <c r="BL234">
        <v>7953</v>
      </c>
    </row>
    <row r="235" spans="50:64" x14ac:dyDescent="0.25">
      <c r="AX235">
        <v>233</v>
      </c>
      <c r="AY235">
        <v>7816</v>
      </c>
      <c r="AZ235">
        <f t="shared" si="50"/>
        <v>249.97633060388947</v>
      </c>
      <c r="BA235">
        <f t="shared" si="51"/>
        <v>3.9982173156562495E-3</v>
      </c>
      <c r="BB235">
        <f t="shared" si="52"/>
        <v>0.9316994131054086</v>
      </c>
      <c r="BD235">
        <v>0.44861816999999998</v>
      </c>
      <c r="BE235">
        <v>171</v>
      </c>
      <c r="BF235">
        <v>7681</v>
      </c>
      <c r="BG235" s="5">
        <v>233</v>
      </c>
      <c r="BH235">
        <v>7829</v>
      </c>
      <c r="BI235" s="1">
        <v>0.65942537999999995</v>
      </c>
      <c r="BJ235">
        <v>7829</v>
      </c>
      <c r="BK235" s="5">
        <v>182</v>
      </c>
      <c r="BL235">
        <v>7954</v>
      </c>
    </row>
    <row r="236" spans="50:64" x14ac:dyDescent="0.25">
      <c r="AX236">
        <v>234</v>
      </c>
      <c r="AY236">
        <v>7762</v>
      </c>
      <c r="AZ236">
        <f t="shared" si="50"/>
        <v>251.71540839989694</v>
      </c>
      <c r="BA236">
        <f t="shared" si="51"/>
        <v>4.0260327929875356E-3</v>
      </c>
      <c r="BB236">
        <f t="shared" si="52"/>
        <v>0.93572544589839612</v>
      </c>
      <c r="BD236">
        <v>4.1577759999999998E-2</v>
      </c>
      <c r="BE236">
        <v>90</v>
      </c>
      <c r="BF236">
        <v>7847</v>
      </c>
      <c r="BG236" s="5">
        <v>234</v>
      </c>
      <c r="BH236">
        <v>7864</v>
      </c>
      <c r="BI236" s="1">
        <v>0.75815516999999999</v>
      </c>
      <c r="BJ236">
        <v>7864</v>
      </c>
      <c r="BK236" s="5">
        <v>104</v>
      </c>
      <c r="BL236">
        <v>7964</v>
      </c>
    </row>
    <row r="237" spans="50:64" x14ac:dyDescent="0.25">
      <c r="AX237">
        <v>235</v>
      </c>
      <c r="AY237">
        <v>7566</v>
      </c>
      <c r="AZ237">
        <f t="shared" si="50"/>
        <v>258.23618821041504</v>
      </c>
      <c r="BA237">
        <f t="shared" si="51"/>
        <v>4.1303286464669901E-3</v>
      </c>
      <c r="BB237">
        <f t="shared" si="52"/>
        <v>0.93985577454486313</v>
      </c>
      <c r="BD237">
        <v>0.90546024000000003</v>
      </c>
      <c r="BE237">
        <v>161</v>
      </c>
      <c r="BF237">
        <v>7726</v>
      </c>
      <c r="BG237" s="5">
        <v>235</v>
      </c>
      <c r="BH237">
        <v>7647</v>
      </c>
      <c r="BI237" s="1">
        <v>8.3730940000000004E-2</v>
      </c>
      <c r="BJ237">
        <v>7647</v>
      </c>
      <c r="BK237" s="5">
        <v>151</v>
      </c>
      <c r="BL237">
        <v>7968</v>
      </c>
    </row>
    <row r="238" spans="50:64" x14ac:dyDescent="0.25">
      <c r="AX238">
        <v>236</v>
      </c>
      <c r="AY238">
        <v>7752</v>
      </c>
      <c r="AZ238">
        <f t="shared" si="50"/>
        <v>252.04011867905058</v>
      </c>
      <c r="BA238">
        <f t="shared" si="51"/>
        <v>4.031226333742163E-3</v>
      </c>
      <c r="BB238">
        <f t="shared" si="52"/>
        <v>0.94388700087860533</v>
      </c>
      <c r="BD238">
        <v>0.57302909999999996</v>
      </c>
      <c r="BE238">
        <v>158</v>
      </c>
      <c r="BF238">
        <v>7851</v>
      </c>
      <c r="BG238" s="5">
        <v>236</v>
      </c>
      <c r="BH238">
        <v>7661</v>
      </c>
      <c r="BI238" s="1">
        <v>0.92920822000000003</v>
      </c>
      <c r="BJ238">
        <v>7661</v>
      </c>
      <c r="BK238" s="5">
        <v>123</v>
      </c>
      <c r="BL238">
        <v>7969</v>
      </c>
    </row>
    <row r="239" spans="50:64" x14ac:dyDescent="0.25">
      <c r="AX239">
        <v>237</v>
      </c>
      <c r="AY239">
        <v>7867</v>
      </c>
      <c r="AZ239">
        <f t="shared" si="50"/>
        <v>248.35579000889794</v>
      </c>
      <c r="BA239">
        <f t="shared" si="51"/>
        <v>3.9722977677855917E-3</v>
      </c>
      <c r="BB239">
        <f t="shared" si="52"/>
        <v>0.94785929864639096</v>
      </c>
      <c r="BD239">
        <v>0.23017359000000001</v>
      </c>
      <c r="BE239">
        <v>71</v>
      </c>
      <c r="BF239">
        <v>7692</v>
      </c>
      <c r="BG239" s="5">
        <v>237</v>
      </c>
      <c r="BH239">
        <v>8029</v>
      </c>
      <c r="BI239" s="1">
        <v>0.86366259999999995</v>
      </c>
      <c r="BJ239">
        <v>8029</v>
      </c>
      <c r="BK239" s="5">
        <v>78</v>
      </c>
      <c r="BL239">
        <v>7971</v>
      </c>
    </row>
    <row r="240" spans="50:64" x14ac:dyDescent="0.25">
      <c r="AX240">
        <v>238</v>
      </c>
      <c r="AY240">
        <v>7719</v>
      </c>
      <c r="AZ240">
        <f t="shared" si="50"/>
        <v>253.11763181759295</v>
      </c>
      <c r="BA240">
        <f t="shared" si="51"/>
        <v>4.0484604921841236E-3</v>
      </c>
      <c r="BB240">
        <f t="shared" si="52"/>
        <v>0.95190775913857506</v>
      </c>
      <c r="BD240">
        <v>0.96668690000000002</v>
      </c>
      <c r="BE240">
        <v>164</v>
      </c>
      <c r="BF240">
        <v>7609</v>
      </c>
      <c r="BG240" s="5">
        <v>238</v>
      </c>
      <c r="BH240">
        <v>7860</v>
      </c>
      <c r="BI240" s="1">
        <v>0.83514076000000004</v>
      </c>
      <c r="BJ240">
        <v>7860</v>
      </c>
      <c r="BK240" s="5">
        <v>248</v>
      </c>
      <c r="BL240">
        <v>7982</v>
      </c>
    </row>
    <row r="241" spans="50:64" x14ac:dyDescent="0.25">
      <c r="AX241">
        <v>239</v>
      </c>
      <c r="AY241">
        <v>7932</v>
      </c>
      <c r="AZ241">
        <f t="shared" si="50"/>
        <v>246.32060010085729</v>
      </c>
      <c r="BA241">
        <f t="shared" si="51"/>
        <v>3.9397461597540659E-3</v>
      </c>
      <c r="BB241">
        <f t="shared" si="52"/>
        <v>0.95584750529832918</v>
      </c>
      <c r="BD241">
        <v>0.57080662000000004</v>
      </c>
      <c r="BE241">
        <v>213</v>
      </c>
      <c r="BF241">
        <v>7791</v>
      </c>
      <c r="BG241" s="5">
        <v>239</v>
      </c>
      <c r="BH241">
        <v>7698</v>
      </c>
      <c r="BI241" s="2">
        <v>3.368235E-2</v>
      </c>
      <c r="BJ241">
        <v>7684</v>
      </c>
      <c r="BK241" s="5">
        <v>174</v>
      </c>
      <c r="BL241">
        <v>7991</v>
      </c>
    </row>
    <row r="242" spans="50:64" x14ac:dyDescent="0.25">
      <c r="AX242">
        <v>240</v>
      </c>
      <c r="AY242">
        <v>7776</v>
      </c>
      <c r="AZ242">
        <f t="shared" si="50"/>
        <v>251.26221707818931</v>
      </c>
      <c r="BA242">
        <f t="shared" si="51"/>
        <v>4.0187842771565391E-3</v>
      </c>
      <c r="BB242">
        <f t="shared" si="52"/>
        <v>0.9598662895754857</v>
      </c>
      <c r="BD242">
        <v>0.50496845999999995</v>
      </c>
      <c r="BE242">
        <v>59</v>
      </c>
      <c r="BF242">
        <v>7568</v>
      </c>
      <c r="BG242" s="5">
        <v>240</v>
      </c>
      <c r="BH242">
        <v>7550</v>
      </c>
      <c r="BI242" s="2">
        <v>3.2888229999999997E-2</v>
      </c>
      <c r="BJ242">
        <v>7553</v>
      </c>
      <c r="BK242" s="5">
        <v>238</v>
      </c>
      <c r="BL242">
        <v>7992</v>
      </c>
    </row>
    <row r="243" spans="50:64" x14ac:dyDescent="0.25">
      <c r="AX243">
        <v>241</v>
      </c>
      <c r="AY243">
        <v>7829</v>
      </c>
      <c r="AZ243">
        <f t="shared" si="50"/>
        <v>249.56124664708136</v>
      </c>
      <c r="BA243">
        <f t="shared" si="51"/>
        <v>3.9915783036363834E-3</v>
      </c>
      <c r="BB243">
        <f t="shared" si="52"/>
        <v>0.96385786787912209</v>
      </c>
      <c r="BD243">
        <v>0.90041994999999997</v>
      </c>
      <c r="BE243">
        <v>155</v>
      </c>
      <c r="BF243">
        <v>8065</v>
      </c>
      <c r="BG243" s="5">
        <v>241</v>
      </c>
      <c r="BH243">
        <v>7547</v>
      </c>
      <c r="BI243" s="1">
        <v>0.47663151999999998</v>
      </c>
      <c r="BJ243">
        <v>7547</v>
      </c>
      <c r="BK243" s="5">
        <v>221</v>
      </c>
      <c r="BL243">
        <v>8000</v>
      </c>
    </row>
    <row r="244" spans="50:64" x14ac:dyDescent="0.25">
      <c r="AX244">
        <v>242</v>
      </c>
      <c r="AY244">
        <v>7897</v>
      </c>
      <c r="AZ244">
        <f t="shared" si="50"/>
        <v>247.41230847157149</v>
      </c>
      <c r="BA244">
        <f t="shared" si="51"/>
        <v>3.957207362184279E-3</v>
      </c>
      <c r="BB244">
        <f t="shared" si="52"/>
        <v>0.96781507524130639</v>
      </c>
      <c r="BD244">
        <v>0.80775445999999995</v>
      </c>
      <c r="BE244">
        <v>232</v>
      </c>
      <c r="BF244">
        <v>7810</v>
      </c>
      <c r="BG244" s="5">
        <v>242</v>
      </c>
      <c r="BH244">
        <v>7725</v>
      </c>
      <c r="BI244" s="1">
        <v>0.96547227999999996</v>
      </c>
      <c r="BJ244">
        <v>7725</v>
      </c>
      <c r="BK244" s="5">
        <v>223</v>
      </c>
      <c r="BL244">
        <v>8006</v>
      </c>
    </row>
    <row r="245" spans="50:64" x14ac:dyDescent="0.25">
      <c r="AX245">
        <v>243</v>
      </c>
      <c r="AY245">
        <v>7786</v>
      </c>
      <c r="AZ245">
        <f t="shared" si="50"/>
        <v>250.93950680708966</v>
      </c>
      <c r="BA245">
        <f t="shared" si="51"/>
        <v>4.0136227252978744E-3</v>
      </c>
      <c r="BB245">
        <f t="shared" si="52"/>
        <v>0.97182869796660432</v>
      </c>
      <c r="BD245">
        <v>0.74218404000000004</v>
      </c>
      <c r="BE245">
        <v>100</v>
      </c>
      <c r="BF245">
        <v>7780</v>
      </c>
      <c r="BG245" s="5">
        <v>243</v>
      </c>
      <c r="BH245">
        <v>7510</v>
      </c>
      <c r="BI245" s="1">
        <v>0.23497295000000001</v>
      </c>
      <c r="BJ245">
        <v>7510</v>
      </c>
      <c r="BK245" s="5">
        <v>100</v>
      </c>
      <c r="BL245">
        <v>8016</v>
      </c>
    </row>
    <row r="246" spans="50:64" x14ac:dyDescent="0.25">
      <c r="AX246">
        <v>244</v>
      </c>
      <c r="AY246">
        <v>7800</v>
      </c>
      <c r="AZ246">
        <f t="shared" si="50"/>
        <v>250.48910256410255</v>
      </c>
      <c r="BA246">
        <f t="shared" si="51"/>
        <v>4.00641878707298E-3</v>
      </c>
      <c r="BB246">
        <f t="shared" si="52"/>
        <v>0.97583511675367729</v>
      </c>
      <c r="BD246">
        <v>0.15709597</v>
      </c>
      <c r="BE246">
        <v>80</v>
      </c>
      <c r="BF246">
        <v>7448</v>
      </c>
      <c r="BG246" s="5">
        <v>244</v>
      </c>
      <c r="BH246">
        <v>7509</v>
      </c>
      <c r="BI246" s="1">
        <v>0.90590208999999999</v>
      </c>
      <c r="BJ246">
        <v>7509</v>
      </c>
      <c r="BK246" s="5">
        <v>190</v>
      </c>
      <c r="BL246">
        <v>8021</v>
      </c>
    </row>
    <row r="247" spans="50:64" x14ac:dyDescent="0.25">
      <c r="AX247">
        <v>245</v>
      </c>
      <c r="AY247">
        <v>7981</v>
      </c>
      <c r="AZ247">
        <f t="shared" si="50"/>
        <v>244.8082946999123</v>
      </c>
      <c r="BA247">
        <f t="shared" si="51"/>
        <v>3.915557767093002E-3</v>
      </c>
      <c r="BB247">
        <f t="shared" si="52"/>
        <v>0.97975067452077025</v>
      </c>
      <c r="BD247">
        <v>0.69525813999999997</v>
      </c>
      <c r="BE247">
        <v>144</v>
      </c>
      <c r="BF247">
        <v>7702</v>
      </c>
      <c r="BG247" s="5">
        <v>245</v>
      </c>
      <c r="BH247">
        <v>7669</v>
      </c>
      <c r="BI247" s="1">
        <v>0.39232123000000002</v>
      </c>
      <c r="BJ247">
        <v>7669</v>
      </c>
      <c r="BK247" s="5">
        <v>147</v>
      </c>
      <c r="BL247">
        <v>8026</v>
      </c>
    </row>
    <row r="248" spans="50:64" x14ac:dyDescent="0.25">
      <c r="AX248">
        <v>246</v>
      </c>
      <c r="AY248">
        <v>7837</v>
      </c>
      <c r="AZ248">
        <f t="shared" si="50"/>
        <v>249.3064948322062</v>
      </c>
      <c r="BA248">
        <f t="shared" si="51"/>
        <v>3.987503705393549E-3</v>
      </c>
      <c r="BB248">
        <f t="shared" si="52"/>
        <v>0.98373817822616383</v>
      </c>
      <c r="BD248">
        <v>0.41957778000000001</v>
      </c>
      <c r="BE248">
        <v>167</v>
      </c>
      <c r="BF248">
        <v>7705</v>
      </c>
      <c r="BG248" s="5">
        <v>246</v>
      </c>
      <c r="BH248">
        <v>7659</v>
      </c>
      <c r="BI248" s="1">
        <v>0.62294417999999996</v>
      </c>
      <c r="BJ248">
        <v>7659</v>
      </c>
      <c r="BK248" s="5">
        <v>88</v>
      </c>
      <c r="BL248">
        <v>8029</v>
      </c>
    </row>
    <row r="249" spans="50:64" x14ac:dyDescent="0.25">
      <c r="AX249">
        <v>247</v>
      </c>
      <c r="AY249">
        <v>7713</v>
      </c>
      <c r="AZ249">
        <f t="shared" si="50"/>
        <v>253.31453390379878</v>
      </c>
      <c r="BA249">
        <f t="shared" si="51"/>
        <v>4.0516098196770704E-3</v>
      </c>
      <c r="BB249">
        <f t="shared" si="52"/>
        <v>0.98778978804584094</v>
      </c>
      <c r="BD249">
        <v>0.16770040999999999</v>
      </c>
      <c r="BE249">
        <v>121</v>
      </c>
      <c r="BF249">
        <v>7686</v>
      </c>
      <c r="BG249" s="5">
        <v>247</v>
      </c>
      <c r="BH249">
        <v>7786</v>
      </c>
      <c r="BI249" s="1">
        <v>0.29893421999999997</v>
      </c>
      <c r="BJ249">
        <v>7786</v>
      </c>
      <c r="BK249" s="5">
        <v>6</v>
      </c>
      <c r="BL249">
        <v>8039</v>
      </c>
    </row>
    <row r="250" spans="50:64" x14ac:dyDescent="0.25">
      <c r="AX250">
        <v>248</v>
      </c>
      <c r="AY250">
        <v>7801</v>
      </c>
      <c r="AZ250">
        <f t="shared" si="50"/>
        <v>250.45699269324444</v>
      </c>
      <c r="BA250">
        <f t="shared" si="51"/>
        <v>4.0059052094820208E-3</v>
      </c>
      <c r="BB250">
        <f t="shared" si="52"/>
        <v>0.99179569325532302</v>
      </c>
      <c r="BD250">
        <v>0.34758788000000002</v>
      </c>
      <c r="BE250">
        <v>70</v>
      </c>
      <c r="BF250">
        <v>7621</v>
      </c>
      <c r="BG250" s="5">
        <v>248</v>
      </c>
      <c r="BH250">
        <v>7792</v>
      </c>
      <c r="BI250" s="1">
        <v>0.85488743</v>
      </c>
      <c r="BJ250">
        <v>7792</v>
      </c>
      <c r="BK250" s="5">
        <v>133</v>
      </c>
      <c r="BL250">
        <v>8096</v>
      </c>
    </row>
    <row r="251" spans="50:64" x14ac:dyDescent="0.25">
      <c r="AX251">
        <v>249</v>
      </c>
      <c r="AY251">
        <v>7634</v>
      </c>
      <c r="AZ251">
        <f t="shared" si="50"/>
        <v>255.93594445899922</v>
      </c>
      <c r="BA251">
        <f t="shared" si="51"/>
        <v>4.0935376655972288E-3</v>
      </c>
      <c r="BB251">
        <f t="shared" si="52"/>
        <v>0.9958892309209203</v>
      </c>
      <c r="BD251">
        <v>0.97265935000000003</v>
      </c>
      <c r="BE251">
        <v>138</v>
      </c>
      <c r="BF251">
        <v>7663</v>
      </c>
      <c r="BG251" s="5">
        <v>249</v>
      </c>
      <c r="BH251">
        <v>7704</v>
      </c>
      <c r="BI251" s="1">
        <v>0.37275778999999998</v>
      </c>
      <c r="BJ251">
        <v>7704</v>
      </c>
      <c r="BK251" s="5">
        <v>52</v>
      </c>
      <c r="BL251">
        <v>8145</v>
      </c>
    </row>
    <row r="252" spans="50:64" x14ac:dyDescent="0.25">
      <c r="AX252">
        <v>250</v>
      </c>
      <c r="AY252">
        <v>7602</v>
      </c>
      <c r="AZ252">
        <f t="shared" si="50"/>
        <v>257.01328597737438</v>
      </c>
      <c r="BA252">
        <f t="shared" si="51"/>
        <v>4.1107690790804065E-3</v>
      </c>
      <c r="BB252">
        <f t="shared" si="52"/>
        <v>1.0000000000000007</v>
      </c>
      <c r="BD252">
        <v>0.29074328999999999</v>
      </c>
      <c r="BE252">
        <v>182</v>
      </c>
      <c r="BF252">
        <v>7678</v>
      </c>
      <c r="BG252" s="5">
        <v>250</v>
      </c>
      <c r="BH252">
        <v>8021</v>
      </c>
      <c r="BI252" s="1">
        <v>0.44945675000000002</v>
      </c>
      <c r="BJ252">
        <v>8021</v>
      </c>
      <c r="BK252" s="5">
        <v>208</v>
      </c>
      <c r="BL252">
        <v>8153</v>
      </c>
    </row>
    <row r="253" spans="50:64" x14ac:dyDescent="0.25">
      <c r="BI253" s="1"/>
      <c r="BK253" s="5">
        <v>251</v>
      </c>
    </row>
    <row r="254" spans="50:64" x14ac:dyDescent="0.25">
      <c r="AY254">
        <f>SUM(AY3:AY252)</f>
        <v>1953815</v>
      </c>
      <c r="AZ254">
        <f>SUM(AZ3:AZ252)</f>
        <v>62521.946874931047</v>
      </c>
      <c r="BI254" s="1"/>
      <c r="BK254" s="5">
        <v>252</v>
      </c>
    </row>
    <row r="255" spans="50:64" x14ac:dyDescent="0.25">
      <c r="BI255" s="1"/>
    </row>
    <row r="256" spans="50:64" x14ac:dyDescent="0.25">
      <c r="BI256" s="1"/>
    </row>
    <row r="257" spans="60:61" x14ac:dyDescent="0.25">
      <c r="BI257" s="1"/>
    </row>
    <row r="258" spans="60:61" x14ac:dyDescent="0.25">
      <c r="BI258" s="1"/>
    </row>
    <row r="259" spans="60:61" x14ac:dyDescent="0.25">
      <c r="BI259" s="1"/>
    </row>
    <row r="260" spans="60:61" x14ac:dyDescent="0.25">
      <c r="BH260" s="4"/>
      <c r="BI260" s="4"/>
    </row>
    <row r="261" spans="60:61" x14ac:dyDescent="0.25">
      <c r="BH261" s="4"/>
      <c r="BI261" s="4"/>
    </row>
    <row r="262" spans="60:61" x14ac:dyDescent="0.25">
      <c r="BH262" s="4"/>
      <c r="BI262" s="4"/>
    </row>
    <row r="263" spans="60:61" x14ac:dyDescent="0.25">
      <c r="BH263" s="4"/>
      <c r="BI263" s="4"/>
    </row>
    <row r="264" spans="60:61" x14ac:dyDescent="0.25">
      <c r="BH264" s="4"/>
      <c r="BI264" s="4"/>
    </row>
    <row r="265" spans="60:61" x14ac:dyDescent="0.25">
      <c r="BH265" s="4"/>
      <c r="BI265" s="4"/>
    </row>
    <row r="266" spans="60:61" x14ac:dyDescent="0.25">
      <c r="BH266" s="4"/>
      <c r="BI266" s="4"/>
    </row>
    <row r="267" spans="60:61" x14ac:dyDescent="0.25">
      <c r="BH267" s="4"/>
      <c r="BI267" s="4"/>
    </row>
    <row r="268" spans="60:61" x14ac:dyDescent="0.25">
      <c r="BH268" s="4"/>
      <c r="BI268" s="4"/>
    </row>
    <row r="269" spans="60:61" x14ac:dyDescent="0.25">
      <c r="BH269" s="4"/>
      <c r="BI269" s="4"/>
    </row>
    <row r="270" spans="60:61" x14ac:dyDescent="0.25">
      <c r="BH270" s="4"/>
      <c r="BI270" s="4"/>
    </row>
    <row r="271" spans="60:61" x14ac:dyDescent="0.25">
      <c r="BH271" s="4"/>
      <c r="BI271" s="4"/>
    </row>
    <row r="272" spans="60:61" x14ac:dyDescent="0.25">
      <c r="BH272" s="4"/>
      <c r="BI272" s="4"/>
    </row>
    <row r="273" spans="60:61" x14ac:dyDescent="0.25">
      <c r="BH273" s="4"/>
      <c r="BI273" s="4"/>
    </row>
    <row r="274" spans="60:61" x14ac:dyDescent="0.25">
      <c r="BH274" s="4"/>
      <c r="BI274" s="4"/>
    </row>
    <row r="275" spans="60:61" x14ac:dyDescent="0.25">
      <c r="BH275" s="4"/>
      <c r="BI275" s="4"/>
    </row>
    <row r="276" spans="60:61" x14ac:dyDescent="0.25">
      <c r="BH276" s="4"/>
      <c r="BI276" s="4"/>
    </row>
    <row r="277" spans="60:61" x14ac:dyDescent="0.25">
      <c r="BH277" s="4"/>
      <c r="BI277" s="4"/>
    </row>
    <row r="278" spans="60:61" x14ac:dyDescent="0.25">
      <c r="BH278" s="4"/>
      <c r="BI278" s="4"/>
    </row>
    <row r="279" spans="60:61" x14ac:dyDescent="0.25">
      <c r="BH279" s="4"/>
      <c r="BI279" s="4"/>
    </row>
    <row r="280" spans="60:61" x14ac:dyDescent="0.25">
      <c r="BH280" s="4"/>
      <c r="BI280" s="4"/>
    </row>
    <row r="281" spans="60:61" x14ac:dyDescent="0.25">
      <c r="BH281" s="4"/>
      <c r="BI281" s="4"/>
    </row>
    <row r="282" spans="60:61" x14ac:dyDescent="0.25">
      <c r="BH282" s="4"/>
      <c r="BI282" s="4"/>
    </row>
    <row r="283" spans="60:61" x14ac:dyDescent="0.25">
      <c r="BH283" s="4"/>
      <c r="BI283" s="4"/>
    </row>
    <row r="284" spans="60:61" x14ac:dyDescent="0.25">
      <c r="BH284" s="4"/>
      <c r="BI284" s="4"/>
    </row>
    <row r="285" spans="60:61" x14ac:dyDescent="0.25">
      <c r="BH285" s="4"/>
      <c r="BI285" s="4"/>
    </row>
    <row r="286" spans="60:61" x14ac:dyDescent="0.25">
      <c r="BH286" s="4"/>
      <c r="BI286" s="4"/>
    </row>
    <row r="287" spans="60:61" x14ac:dyDescent="0.25">
      <c r="BH287" s="4"/>
      <c r="BI287" s="4"/>
    </row>
    <row r="288" spans="60:61" x14ac:dyDescent="0.25">
      <c r="BH288" s="4"/>
      <c r="BI288" s="4"/>
    </row>
    <row r="289" spans="60:61" x14ac:dyDescent="0.25">
      <c r="BH289" s="4"/>
      <c r="BI289" s="4"/>
    </row>
    <row r="290" spans="60:61" x14ac:dyDescent="0.25">
      <c r="BH290" s="4"/>
      <c r="BI290" s="4"/>
    </row>
    <row r="291" spans="60:61" x14ac:dyDescent="0.25">
      <c r="BH291" s="4"/>
      <c r="BI291" s="4"/>
    </row>
    <row r="292" spans="60:61" x14ac:dyDescent="0.25">
      <c r="BH292" s="4"/>
      <c r="BI292" s="4"/>
    </row>
    <row r="293" spans="60:61" x14ac:dyDescent="0.25">
      <c r="BH293" s="4"/>
      <c r="BI293" s="4"/>
    </row>
    <row r="294" spans="60:61" x14ac:dyDescent="0.25">
      <c r="BH294" s="4"/>
      <c r="BI294" s="4"/>
    </row>
    <row r="295" spans="60:61" x14ac:dyDescent="0.25">
      <c r="BH295" s="4"/>
      <c r="BI295" s="4"/>
    </row>
    <row r="296" spans="60:61" x14ac:dyDescent="0.25">
      <c r="BH296" s="4"/>
      <c r="BI296" s="4"/>
    </row>
    <row r="297" spans="60:61" x14ac:dyDescent="0.25">
      <c r="BH297" s="4"/>
      <c r="BI297" s="4"/>
    </row>
    <row r="298" spans="60:61" x14ac:dyDescent="0.25">
      <c r="BH298" s="4"/>
      <c r="BI298" s="4"/>
    </row>
    <row r="299" spans="60:61" x14ac:dyDescent="0.25">
      <c r="BH299" s="4"/>
      <c r="BI299" s="4"/>
    </row>
    <row r="300" spans="60:61" x14ac:dyDescent="0.25">
      <c r="BH300" s="4"/>
      <c r="BI300" s="4"/>
    </row>
    <row r="301" spans="60:61" x14ac:dyDescent="0.25">
      <c r="BH301" s="4"/>
      <c r="BI301" s="4"/>
    </row>
    <row r="302" spans="60:61" x14ac:dyDescent="0.25">
      <c r="BH302" s="4"/>
      <c r="BI302" s="4"/>
    </row>
    <row r="303" spans="60:61" x14ac:dyDescent="0.25">
      <c r="BH303" s="4"/>
      <c r="BI303" s="4"/>
    </row>
    <row r="304" spans="60:61" x14ac:dyDescent="0.25">
      <c r="BH304" s="4"/>
      <c r="BI304" s="4"/>
    </row>
    <row r="305" spans="60:61" x14ac:dyDescent="0.25">
      <c r="BH305" s="4"/>
      <c r="BI305" s="4"/>
    </row>
    <row r="306" spans="60:61" x14ac:dyDescent="0.25">
      <c r="BH306" s="4"/>
      <c r="BI306" s="4"/>
    </row>
    <row r="307" spans="60:61" x14ac:dyDescent="0.25">
      <c r="BH307" s="4"/>
      <c r="BI307" s="4"/>
    </row>
    <row r="308" spans="60:61" x14ac:dyDescent="0.25">
      <c r="BH308" s="4"/>
      <c r="BI308" s="4"/>
    </row>
    <row r="309" spans="60:61" x14ac:dyDescent="0.25">
      <c r="BH309" s="4"/>
      <c r="BI309" s="4"/>
    </row>
    <row r="310" spans="60:61" x14ac:dyDescent="0.25">
      <c r="BH310" s="4"/>
      <c r="BI310" s="4"/>
    </row>
    <row r="311" spans="60:61" x14ac:dyDescent="0.25">
      <c r="BH311" s="4"/>
      <c r="BI311" s="4"/>
    </row>
    <row r="312" spans="60:61" x14ac:dyDescent="0.25">
      <c r="BH312" s="4"/>
      <c r="BI312" s="4"/>
    </row>
    <row r="313" spans="60:61" x14ac:dyDescent="0.25">
      <c r="BH313" s="4"/>
      <c r="BI313" s="4"/>
    </row>
    <row r="314" spans="60:61" x14ac:dyDescent="0.25">
      <c r="BH314" s="4"/>
      <c r="BI314" s="4"/>
    </row>
    <row r="315" spans="60:61" x14ac:dyDescent="0.25">
      <c r="BH315" s="4"/>
      <c r="BI315" s="4"/>
    </row>
    <row r="316" spans="60:61" x14ac:dyDescent="0.25">
      <c r="BH316" s="4"/>
      <c r="BI316" s="4"/>
    </row>
    <row r="317" spans="60:61" x14ac:dyDescent="0.25">
      <c r="BH317" s="4"/>
      <c r="BI317" s="4"/>
    </row>
    <row r="318" spans="60:61" x14ac:dyDescent="0.25">
      <c r="BH318" s="4"/>
      <c r="BI318" s="4"/>
    </row>
    <row r="319" spans="60:61" x14ac:dyDescent="0.25">
      <c r="BH319" s="4"/>
      <c r="BI319" s="4"/>
    </row>
    <row r="320" spans="60:61" x14ac:dyDescent="0.25">
      <c r="BH320" s="4"/>
      <c r="BI320" s="4"/>
    </row>
    <row r="321" spans="60:61" x14ac:dyDescent="0.25">
      <c r="BH321" s="4"/>
      <c r="BI321" s="4"/>
    </row>
    <row r="322" spans="60:61" x14ac:dyDescent="0.25">
      <c r="BH322" s="4"/>
      <c r="BI322" s="4"/>
    </row>
    <row r="323" spans="60:61" x14ac:dyDescent="0.25">
      <c r="BH323" s="4"/>
      <c r="BI323" s="4"/>
    </row>
    <row r="324" spans="60:61" x14ac:dyDescent="0.25">
      <c r="BH324" s="4"/>
      <c r="BI324" s="4"/>
    </row>
    <row r="325" spans="60:61" x14ac:dyDescent="0.25">
      <c r="BH325" s="4"/>
      <c r="BI325" s="4"/>
    </row>
    <row r="326" spans="60:61" x14ac:dyDescent="0.25">
      <c r="BH326" s="4"/>
      <c r="BI326" s="4"/>
    </row>
    <row r="327" spans="60:61" x14ac:dyDescent="0.25">
      <c r="BH327" s="4"/>
      <c r="BI327" s="4"/>
    </row>
    <row r="328" spans="60:61" x14ac:dyDescent="0.25">
      <c r="BH328" s="4"/>
      <c r="BI328" s="4"/>
    </row>
    <row r="329" spans="60:61" x14ac:dyDescent="0.25">
      <c r="BH329" s="4"/>
      <c r="BI329" s="4"/>
    </row>
    <row r="330" spans="60:61" x14ac:dyDescent="0.25">
      <c r="BH330" s="4"/>
      <c r="BI330" s="4"/>
    </row>
    <row r="331" spans="60:61" x14ac:dyDescent="0.25">
      <c r="BH331" s="4"/>
      <c r="BI331" s="4"/>
    </row>
    <row r="332" spans="60:61" x14ac:dyDescent="0.25">
      <c r="BH332" s="4"/>
      <c r="BI332" s="4"/>
    </row>
    <row r="333" spans="60:61" x14ac:dyDescent="0.25">
      <c r="BH333" s="4"/>
      <c r="BI333" s="4"/>
    </row>
    <row r="334" spans="60:61" x14ac:dyDescent="0.25">
      <c r="BH334" s="4"/>
      <c r="BI334" s="4"/>
    </row>
    <row r="335" spans="60:61" x14ac:dyDescent="0.25">
      <c r="BH335" s="4"/>
      <c r="BI335" s="4"/>
    </row>
    <row r="336" spans="60:61" x14ac:dyDescent="0.25">
      <c r="BH336" s="4"/>
      <c r="BI336" s="4"/>
    </row>
    <row r="337" spans="60:61" x14ac:dyDescent="0.25">
      <c r="BH337" s="4"/>
      <c r="BI337" s="4"/>
    </row>
    <row r="338" spans="60:61" x14ac:dyDescent="0.25">
      <c r="BH338" s="4"/>
      <c r="BI338" s="4"/>
    </row>
    <row r="339" spans="60:61" x14ac:dyDescent="0.25">
      <c r="BH339" s="4"/>
      <c r="BI339" s="4"/>
    </row>
    <row r="340" spans="60:61" x14ac:dyDescent="0.25">
      <c r="BH340" s="4"/>
      <c r="BI340" s="4"/>
    </row>
    <row r="341" spans="60:61" x14ac:dyDescent="0.25">
      <c r="BH341" s="4"/>
      <c r="BI341" s="4"/>
    </row>
    <row r="342" spans="60:61" x14ac:dyDescent="0.25">
      <c r="BH342" s="4"/>
      <c r="BI342" s="4"/>
    </row>
    <row r="343" spans="60:61" x14ac:dyDescent="0.25">
      <c r="BH343" s="4"/>
      <c r="BI343" s="4"/>
    </row>
    <row r="344" spans="60:61" x14ac:dyDescent="0.25">
      <c r="BH344" s="4"/>
      <c r="BI344" s="4"/>
    </row>
    <row r="345" spans="60:61" x14ac:dyDescent="0.25">
      <c r="BH345" s="4"/>
      <c r="BI345" s="4"/>
    </row>
    <row r="346" spans="60:61" x14ac:dyDescent="0.25">
      <c r="BH346" s="4"/>
      <c r="BI346" s="4"/>
    </row>
    <row r="347" spans="60:61" x14ac:dyDescent="0.25">
      <c r="BH347" s="4"/>
      <c r="BI347" s="4"/>
    </row>
    <row r="348" spans="60:61" x14ac:dyDescent="0.25">
      <c r="BH348" s="4"/>
      <c r="BI348" s="4"/>
    </row>
    <row r="349" spans="60:61" x14ac:dyDescent="0.25">
      <c r="BH349" s="4"/>
      <c r="BI349" s="4"/>
    </row>
    <row r="350" spans="60:61" x14ac:dyDescent="0.25">
      <c r="BH350" s="4"/>
      <c r="BI350" s="4"/>
    </row>
    <row r="351" spans="60:61" x14ac:dyDescent="0.25">
      <c r="BH351" s="4"/>
      <c r="BI351" s="4"/>
    </row>
    <row r="352" spans="60:61" x14ac:dyDescent="0.25">
      <c r="BH352" s="4"/>
      <c r="BI352" s="4"/>
    </row>
    <row r="353" spans="60:61" x14ac:dyDescent="0.25">
      <c r="BH353" s="4"/>
      <c r="BI353" s="4"/>
    </row>
    <row r="354" spans="60:61" x14ac:dyDescent="0.25">
      <c r="BH354" s="4"/>
      <c r="BI354" s="4"/>
    </row>
    <row r="355" spans="60:61" x14ac:dyDescent="0.25">
      <c r="BH355" s="4"/>
      <c r="BI355" s="4"/>
    </row>
    <row r="356" spans="60:61" x14ac:dyDescent="0.25">
      <c r="BH356" s="4"/>
      <c r="BI356" s="4"/>
    </row>
    <row r="357" spans="60:61" x14ac:dyDescent="0.25">
      <c r="BH357" s="4"/>
      <c r="BI357" s="4"/>
    </row>
    <row r="358" spans="60:61" x14ac:dyDescent="0.25">
      <c r="BH358" s="4"/>
      <c r="BI358" s="4"/>
    </row>
    <row r="359" spans="60:61" x14ac:dyDescent="0.25">
      <c r="BH359" s="4"/>
      <c r="BI359" s="4"/>
    </row>
    <row r="360" spans="60:61" x14ac:dyDescent="0.25">
      <c r="BH360" s="4"/>
      <c r="BI360" s="4"/>
    </row>
    <row r="361" spans="60:61" x14ac:dyDescent="0.25">
      <c r="BH361" s="4"/>
      <c r="BI361" s="4"/>
    </row>
    <row r="362" spans="60:61" x14ac:dyDescent="0.25">
      <c r="BH362" s="4"/>
      <c r="BI362" s="4"/>
    </row>
    <row r="363" spans="60:61" x14ac:dyDescent="0.25">
      <c r="BH363" s="4"/>
      <c r="BI363" s="4"/>
    </row>
    <row r="364" spans="60:61" x14ac:dyDescent="0.25">
      <c r="BH364" s="4"/>
      <c r="BI364" s="4"/>
    </row>
    <row r="365" spans="60:61" x14ac:dyDescent="0.25">
      <c r="BH365" s="4"/>
      <c r="BI365" s="4"/>
    </row>
    <row r="366" spans="60:61" x14ac:dyDescent="0.25">
      <c r="BH366" s="4"/>
      <c r="BI366" s="4"/>
    </row>
    <row r="367" spans="60:61" x14ac:dyDescent="0.25">
      <c r="BH367" s="4"/>
      <c r="BI367" s="4"/>
    </row>
    <row r="368" spans="60:61" x14ac:dyDescent="0.25">
      <c r="BH368" s="4"/>
      <c r="BI368" s="4"/>
    </row>
    <row r="369" spans="60:61" x14ac:dyDescent="0.25">
      <c r="BH369" s="4"/>
      <c r="BI369" s="4"/>
    </row>
    <row r="370" spans="60:61" x14ac:dyDescent="0.25">
      <c r="BH370" s="4"/>
      <c r="BI370" s="4"/>
    </row>
    <row r="371" spans="60:61" x14ac:dyDescent="0.25">
      <c r="BH371" s="4"/>
      <c r="BI371" s="4"/>
    </row>
    <row r="372" spans="60:61" x14ac:dyDescent="0.25">
      <c r="BH372" s="4"/>
      <c r="BI372" s="4"/>
    </row>
    <row r="373" spans="60:61" x14ac:dyDescent="0.25">
      <c r="BH373" s="4"/>
      <c r="BI373" s="4"/>
    </row>
    <row r="374" spans="60:61" x14ac:dyDescent="0.25">
      <c r="BH374" s="4"/>
      <c r="BI374" s="4"/>
    </row>
    <row r="375" spans="60:61" x14ac:dyDescent="0.25">
      <c r="BH375" s="4"/>
      <c r="BI375" s="4"/>
    </row>
    <row r="376" spans="60:61" x14ac:dyDescent="0.25">
      <c r="BH376" s="4"/>
      <c r="BI376" s="4"/>
    </row>
    <row r="377" spans="60:61" x14ac:dyDescent="0.25">
      <c r="BH377" s="4"/>
      <c r="BI377" s="4"/>
    </row>
    <row r="378" spans="60:61" x14ac:dyDescent="0.25">
      <c r="BH378" s="4"/>
      <c r="BI378" s="4"/>
    </row>
    <row r="379" spans="60:61" x14ac:dyDescent="0.25">
      <c r="BH379" s="4"/>
      <c r="BI379" s="4"/>
    </row>
    <row r="380" spans="60:61" x14ac:dyDescent="0.25">
      <c r="BH380" s="4"/>
      <c r="BI380" s="4"/>
    </row>
    <row r="381" spans="60:61" x14ac:dyDescent="0.25">
      <c r="BH381" s="4"/>
      <c r="BI381" s="4"/>
    </row>
    <row r="382" spans="60:61" x14ac:dyDescent="0.25">
      <c r="BH382" s="4"/>
      <c r="BI382" s="4"/>
    </row>
    <row r="383" spans="60:61" x14ac:dyDescent="0.25">
      <c r="BH383" s="4"/>
      <c r="BI383" s="4"/>
    </row>
    <row r="384" spans="60:61" x14ac:dyDescent="0.25">
      <c r="BH384" s="4"/>
      <c r="BI384" s="4"/>
    </row>
    <row r="385" spans="60:61" x14ac:dyDescent="0.25">
      <c r="BH385" s="4"/>
      <c r="BI385" s="4"/>
    </row>
    <row r="386" spans="60:61" x14ac:dyDescent="0.25">
      <c r="BH386" s="4"/>
      <c r="BI386" s="4"/>
    </row>
    <row r="387" spans="60:61" x14ac:dyDescent="0.25">
      <c r="BH387" s="4"/>
      <c r="BI387" s="4"/>
    </row>
    <row r="388" spans="60:61" x14ac:dyDescent="0.25">
      <c r="BH388" s="4"/>
      <c r="BI388" s="4"/>
    </row>
    <row r="389" spans="60:61" x14ac:dyDescent="0.25">
      <c r="BH389" s="4"/>
      <c r="BI389" s="4"/>
    </row>
    <row r="390" spans="60:61" x14ac:dyDescent="0.25">
      <c r="BH390" s="4"/>
      <c r="BI390" s="4"/>
    </row>
    <row r="391" spans="60:61" x14ac:dyDescent="0.25">
      <c r="BH391" s="4"/>
      <c r="BI391" s="4"/>
    </row>
    <row r="392" spans="60:61" x14ac:dyDescent="0.25">
      <c r="BH392" s="4"/>
      <c r="BI392" s="4"/>
    </row>
    <row r="393" spans="60:61" x14ac:dyDescent="0.25">
      <c r="BH393" s="4"/>
      <c r="BI393" s="4"/>
    </row>
    <row r="394" spans="60:61" x14ac:dyDescent="0.25">
      <c r="BH394" s="4"/>
      <c r="BI394" s="4"/>
    </row>
    <row r="395" spans="60:61" x14ac:dyDescent="0.25">
      <c r="BH395" s="4"/>
      <c r="BI395" s="4"/>
    </row>
    <row r="396" spans="60:61" x14ac:dyDescent="0.25">
      <c r="BH396" s="4"/>
      <c r="BI396" s="4"/>
    </row>
    <row r="397" spans="60:61" x14ac:dyDescent="0.25">
      <c r="BH397" s="4"/>
      <c r="BI397" s="4"/>
    </row>
    <row r="398" spans="60:61" x14ac:dyDescent="0.25">
      <c r="BH398" s="4"/>
      <c r="BI398" s="4"/>
    </row>
    <row r="399" spans="60:61" x14ac:dyDescent="0.25">
      <c r="BH399" s="4"/>
      <c r="BI399" s="4"/>
    </row>
    <row r="400" spans="60:61" x14ac:dyDescent="0.25">
      <c r="BH400" s="4"/>
      <c r="BI400" s="4"/>
    </row>
    <row r="401" spans="60:61" x14ac:dyDescent="0.25">
      <c r="BH401" s="4"/>
      <c r="BI401" s="4"/>
    </row>
    <row r="402" spans="60:61" x14ac:dyDescent="0.25">
      <c r="BH402" s="4"/>
      <c r="BI402" s="4"/>
    </row>
    <row r="403" spans="60:61" x14ac:dyDescent="0.25">
      <c r="BH403" s="4"/>
      <c r="BI403" s="4"/>
    </row>
    <row r="404" spans="60:61" x14ac:dyDescent="0.25">
      <c r="BH404" s="4"/>
      <c r="BI404" s="4"/>
    </row>
    <row r="405" spans="60:61" x14ac:dyDescent="0.25">
      <c r="BH405" s="4"/>
      <c r="BI405" s="4"/>
    </row>
    <row r="406" spans="60:61" x14ac:dyDescent="0.25">
      <c r="BH406" s="4"/>
      <c r="BI406" s="4"/>
    </row>
    <row r="407" spans="60:61" x14ac:dyDescent="0.25">
      <c r="BH407" s="4"/>
      <c r="BI407" s="4"/>
    </row>
    <row r="408" spans="60:61" x14ac:dyDescent="0.25">
      <c r="BH408" s="4"/>
      <c r="BI408" s="4"/>
    </row>
    <row r="409" spans="60:61" x14ac:dyDescent="0.25">
      <c r="BH409" s="4"/>
      <c r="BI409" s="4"/>
    </row>
    <row r="410" spans="60:61" x14ac:dyDescent="0.25">
      <c r="BH410" s="4"/>
      <c r="BI410" s="4"/>
    </row>
    <row r="411" spans="60:61" x14ac:dyDescent="0.25">
      <c r="BH411" s="4"/>
      <c r="BI411" s="4"/>
    </row>
    <row r="412" spans="60:61" x14ac:dyDescent="0.25">
      <c r="BH412" s="4"/>
      <c r="BI412" s="4"/>
    </row>
    <row r="413" spans="60:61" x14ac:dyDescent="0.25">
      <c r="BH413" s="4"/>
      <c r="BI413" s="4"/>
    </row>
    <row r="414" spans="60:61" x14ac:dyDescent="0.25">
      <c r="BH414" s="4"/>
      <c r="BI414" s="4"/>
    </row>
    <row r="415" spans="60:61" x14ac:dyDescent="0.25">
      <c r="BH415" s="4"/>
      <c r="BI415" s="4"/>
    </row>
    <row r="416" spans="60:61" x14ac:dyDescent="0.25">
      <c r="BH416" s="4"/>
      <c r="BI416" s="4"/>
    </row>
    <row r="417" spans="60:61" x14ac:dyDescent="0.25">
      <c r="BH417" s="4"/>
      <c r="BI417" s="4"/>
    </row>
    <row r="418" spans="60:61" x14ac:dyDescent="0.25">
      <c r="BH418" s="4"/>
      <c r="BI418" s="4"/>
    </row>
    <row r="419" spans="60:61" x14ac:dyDescent="0.25">
      <c r="BH419" s="4"/>
      <c r="BI419" s="4"/>
    </row>
    <row r="420" spans="60:61" x14ac:dyDescent="0.25">
      <c r="BH420" s="4"/>
      <c r="BI420" s="4"/>
    </row>
    <row r="421" spans="60:61" x14ac:dyDescent="0.25">
      <c r="BH421" s="4"/>
      <c r="BI421" s="4"/>
    </row>
    <row r="422" spans="60:61" x14ac:dyDescent="0.25">
      <c r="BH422" s="4"/>
      <c r="BI422" s="4"/>
    </row>
    <row r="423" spans="60:61" x14ac:dyDescent="0.25">
      <c r="BH423" s="4"/>
      <c r="BI423" s="4"/>
    </row>
    <row r="424" spans="60:61" x14ac:dyDescent="0.25">
      <c r="BH424" s="4"/>
      <c r="BI424" s="4"/>
    </row>
    <row r="425" spans="60:61" x14ac:dyDescent="0.25">
      <c r="BH425" s="4"/>
      <c r="BI425" s="4"/>
    </row>
    <row r="426" spans="60:61" x14ac:dyDescent="0.25">
      <c r="BH426" s="4"/>
      <c r="BI426" s="4"/>
    </row>
    <row r="427" spans="60:61" x14ac:dyDescent="0.25">
      <c r="BH427" s="4"/>
      <c r="BI427" s="4"/>
    </row>
    <row r="428" spans="60:61" x14ac:dyDescent="0.25">
      <c r="BH428" s="4"/>
      <c r="BI428" s="4"/>
    </row>
    <row r="429" spans="60:61" x14ac:dyDescent="0.25">
      <c r="BH429" s="4"/>
      <c r="BI429" s="4"/>
    </row>
    <row r="430" spans="60:61" x14ac:dyDescent="0.25">
      <c r="BH430" s="4"/>
      <c r="BI430" s="4"/>
    </row>
    <row r="431" spans="60:61" x14ac:dyDescent="0.25">
      <c r="BH431" s="4"/>
      <c r="BI431" s="4"/>
    </row>
    <row r="432" spans="60:61" x14ac:dyDescent="0.25">
      <c r="BH432" s="4"/>
      <c r="BI432" s="4"/>
    </row>
    <row r="433" spans="60:61" x14ac:dyDescent="0.25">
      <c r="BH433" s="4"/>
      <c r="BI433" s="4"/>
    </row>
    <row r="434" spans="60:61" x14ac:dyDescent="0.25">
      <c r="BH434" s="4"/>
      <c r="BI434" s="4"/>
    </row>
    <row r="435" spans="60:61" x14ac:dyDescent="0.25">
      <c r="BH435" s="4"/>
      <c r="BI435" s="4"/>
    </row>
    <row r="436" spans="60:61" x14ac:dyDescent="0.25">
      <c r="BH436" s="4"/>
      <c r="BI436" s="4"/>
    </row>
    <row r="437" spans="60:61" x14ac:dyDescent="0.25">
      <c r="BH437" s="4"/>
      <c r="BI437" s="4"/>
    </row>
    <row r="438" spans="60:61" x14ac:dyDescent="0.25">
      <c r="BH438" s="4"/>
      <c r="BI438" s="4"/>
    </row>
    <row r="439" spans="60:61" x14ac:dyDescent="0.25">
      <c r="BH439" s="4"/>
      <c r="BI439" s="4"/>
    </row>
    <row r="440" spans="60:61" x14ac:dyDescent="0.25">
      <c r="BH440" s="4"/>
      <c r="BI440" s="4"/>
    </row>
    <row r="441" spans="60:61" x14ac:dyDescent="0.25">
      <c r="BH441" s="4"/>
      <c r="BI441" s="4"/>
    </row>
    <row r="442" spans="60:61" x14ac:dyDescent="0.25">
      <c r="BH442" s="4"/>
      <c r="BI442" s="4"/>
    </row>
    <row r="443" spans="60:61" x14ac:dyDescent="0.25">
      <c r="BH443" s="4"/>
      <c r="BI443" s="4"/>
    </row>
    <row r="444" spans="60:61" x14ac:dyDescent="0.25">
      <c r="BH444" s="4"/>
      <c r="BI444" s="4"/>
    </row>
    <row r="445" spans="60:61" x14ac:dyDescent="0.25">
      <c r="BH445" s="4"/>
      <c r="BI445" s="4"/>
    </row>
    <row r="446" spans="60:61" x14ac:dyDescent="0.25">
      <c r="BH446" s="4"/>
      <c r="BI446" s="4"/>
    </row>
    <row r="447" spans="60:61" x14ac:dyDescent="0.25">
      <c r="BH447" s="4"/>
      <c r="BI447" s="4"/>
    </row>
    <row r="448" spans="60:61" x14ac:dyDescent="0.25">
      <c r="BH448" s="4"/>
      <c r="BI448" s="4"/>
    </row>
    <row r="449" spans="60:61" x14ac:dyDescent="0.25">
      <c r="BH449" s="4"/>
      <c r="BI449" s="4"/>
    </row>
    <row r="450" spans="60:61" x14ac:dyDescent="0.25">
      <c r="BH450" s="4"/>
      <c r="BI450" s="4"/>
    </row>
    <row r="451" spans="60:61" x14ac:dyDescent="0.25">
      <c r="BH451" s="4"/>
      <c r="BI451" s="4"/>
    </row>
    <row r="452" spans="60:61" x14ac:dyDescent="0.25">
      <c r="BH452" s="4"/>
      <c r="BI452" s="4"/>
    </row>
    <row r="453" spans="60:61" x14ac:dyDescent="0.25">
      <c r="BH453" s="4"/>
      <c r="BI453" s="4"/>
    </row>
    <row r="454" spans="60:61" x14ac:dyDescent="0.25">
      <c r="BH454" s="4"/>
      <c r="BI454" s="4"/>
    </row>
    <row r="455" spans="60:61" x14ac:dyDescent="0.25">
      <c r="BH455" s="4"/>
      <c r="BI455" s="4"/>
    </row>
    <row r="456" spans="60:61" x14ac:dyDescent="0.25">
      <c r="BH456" s="4"/>
      <c r="BI456" s="4"/>
    </row>
    <row r="457" spans="60:61" x14ac:dyDescent="0.25">
      <c r="BH457" s="4"/>
      <c r="BI457" s="4"/>
    </row>
    <row r="458" spans="60:61" x14ac:dyDescent="0.25">
      <c r="BH458" s="4"/>
      <c r="BI458" s="4"/>
    </row>
    <row r="459" spans="60:61" x14ac:dyDescent="0.25">
      <c r="BH459" s="4"/>
      <c r="BI459" s="4"/>
    </row>
    <row r="460" spans="60:61" x14ac:dyDescent="0.25">
      <c r="BH460" s="4"/>
      <c r="BI460" s="4"/>
    </row>
    <row r="461" spans="60:61" x14ac:dyDescent="0.25">
      <c r="BH461" s="4"/>
      <c r="BI461" s="4"/>
    </row>
    <row r="462" spans="60:61" x14ac:dyDescent="0.25">
      <c r="BH462" s="4"/>
      <c r="BI462" s="4"/>
    </row>
    <row r="463" spans="60:61" x14ac:dyDescent="0.25">
      <c r="BH463" s="4"/>
      <c r="BI463" s="4"/>
    </row>
    <row r="464" spans="60:61" x14ac:dyDescent="0.25">
      <c r="BH464" s="4"/>
      <c r="BI464" s="4"/>
    </row>
    <row r="465" spans="60:61" x14ac:dyDescent="0.25">
      <c r="BH465" s="4"/>
      <c r="BI465" s="4"/>
    </row>
    <row r="466" spans="60:61" x14ac:dyDescent="0.25">
      <c r="BH466" s="4"/>
      <c r="BI466" s="4"/>
    </row>
    <row r="467" spans="60:61" x14ac:dyDescent="0.25">
      <c r="BH467" s="4"/>
      <c r="BI467" s="4"/>
    </row>
    <row r="468" spans="60:61" x14ac:dyDescent="0.25">
      <c r="BH468" s="4"/>
      <c r="BI468" s="4"/>
    </row>
    <row r="469" spans="60:61" x14ac:dyDescent="0.25">
      <c r="BH469" s="4"/>
      <c r="BI469" s="4"/>
    </row>
    <row r="470" spans="60:61" x14ac:dyDescent="0.25">
      <c r="BH470" s="4"/>
      <c r="BI470" s="4"/>
    </row>
    <row r="471" spans="60:61" x14ac:dyDescent="0.25">
      <c r="BH471" s="4"/>
      <c r="BI471" s="4"/>
    </row>
    <row r="472" spans="60:61" x14ac:dyDescent="0.25">
      <c r="BH472" s="4"/>
      <c r="BI472" s="4"/>
    </row>
    <row r="473" spans="60:61" x14ac:dyDescent="0.25">
      <c r="BH473" s="4"/>
      <c r="BI473" s="4"/>
    </row>
    <row r="474" spans="60:61" x14ac:dyDescent="0.25">
      <c r="BH474" s="4"/>
      <c r="BI474" s="4"/>
    </row>
    <row r="475" spans="60:61" x14ac:dyDescent="0.25">
      <c r="BH475" s="4"/>
      <c r="BI475" s="4"/>
    </row>
    <row r="476" spans="60:61" x14ac:dyDescent="0.25">
      <c r="BH476" s="4"/>
      <c r="BI476" s="4"/>
    </row>
    <row r="477" spans="60:61" x14ac:dyDescent="0.25">
      <c r="BH477" s="4"/>
      <c r="BI477" s="4"/>
    </row>
    <row r="478" spans="60:61" x14ac:dyDescent="0.25">
      <c r="BH478" s="4"/>
      <c r="BI478" s="4"/>
    </row>
    <row r="479" spans="60:61" x14ac:dyDescent="0.25">
      <c r="BH479" s="4"/>
      <c r="BI479" s="4"/>
    </row>
    <row r="480" spans="60:61" x14ac:dyDescent="0.25">
      <c r="BH480" s="4"/>
      <c r="BI480" s="4"/>
    </row>
    <row r="481" spans="60:61" x14ac:dyDescent="0.25">
      <c r="BH481" s="4"/>
      <c r="BI481" s="4"/>
    </row>
    <row r="482" spans="60:61" x14ac:dyDescent="0.25">
      <c r="BH482" s="4"/>
      <c r="BI482" s="4"/>
    </row>
    <row r="483" spans="60:61" x14ac:dyDescent="0.25">
      <c r="BH483" s="4"/>
      <c r="BI483" s="4"/>
    </row>
    <row r="484" spans="60:61" x14ac:dyDescent="0.25">
      <c r="BH484" s="4"/>
      <c r="BI484" s="4"/>
    </row>
    <row r="485" spans="60:61" x14ac:dyDescent="0.25">
      <c r="BH485" s="4"/>
      <c r="BI485" s="4"/>
    </row>
    <row r="486" spans="60:61" x14ac:dyDescent="0.25">
      <c r="BH486" s="4"/>
      <c r="BI486" s="4"/>
    </row>
    <row r="487" spans="60:61" x14ac:dyDescent="0.25">
      <c r="BH487" s="4"/>
      <c r="BI487" s="4"/>
    </row>
    <row r="488" spans="60:61" x14ac:dyDescent="0.25">
      <c r="BH488" s="4"/>
      <c r="BI488" s="4"/>
    </row>
    <row r="489" spans="60:61" x14ac:dyDescent="0.25">
      <c r="BH489" s="4"/>
      <c r="BI489" s="4"/>
    </row>
    <row r="490" spans="60:61" x14ac:dyDescent="0.25">
      <c r="BH490" s="4"/>
      <c r="BI490" s="4"/>
    </row>
    <row r="491" spans="60:61" x14ac:dyDescent="0.25">
      <c r="BH491" s="4"/>
      <c r="BI491" s="4"/>
    </row>
    <row r="492" spans="60:61" x14ac:dyDescent="0.25">
      <c r="BH492" s="4"/>
      <c r="BI492" s="4"/>
    </row>
    <row r="493" spans="60:61" x14ac:dyDescent="0.25">
      <c r="BH493" s="4"/>
      <c r="BI493" s="4"/>
    </row>
    <row r="494" spans="60:61" x14ac:dyDescent="0.25">
      <c r="BH494" s="4"/>
      <c r="BI494" s="4"/>
    </row>
    <row r="495" spans="60:61" x14ac:dyDescent="0.25">
      <c r="BH495" s="4"/>
      <c r="BI495" s="4"/>
    </row>
    <row r="496" spans="60:61" x14ac:dyDescent="0.25">
      <c r="BH496" s="4"/>
      <c r="BI496" s="4"/>
    </row>
    <row r="497" spans="60:61" x14ac:dyDescent="0.25">
      <c r="BH497" s="4"/>
      <c r="BI497" s="4"/>
    </row>
    <row r="498" spans="60:61" x14ac:dyDescent="0.25">
      <c r="BH498" s="4"/>
      <c r="BI498" s="4"/>
    </row>
    <row r="499" spans="60:61" x14ac:dyDescent="0.25">
      <c r="BH499" s="4"/>
      <c r="BI499" s="4"/>
    </row>
    <row r="500" spans="60:61" x14ac:dyDescent="0.25">
      <c r="BH500" s="4"/>
      <c r="BI500" s="4"/>
    </row>
    <row r="501" spans="60:61" x14ac:dyDescent="0.25">
      <c r="BH501" s="4"/>
      <c r="BI501" s="4"/>
    </row>
    <row r="502" spans="60:61" x14ac:dyDescent="0.25">
      <c r="BH502" s="4"/>
      <c r="BI502" s="4"/>
    </row>
    <row r="503" spans="60:61" x14ac:dyDescent="0.25">
      <c r="BH503" s="4"/>
      <c r="BI503" s="4"/>
    </row>
    <row r="504" spans="60:61" x14ac:dyDescent="0.25">
      <c r="BH504" s="4"/>
      <c r="BI504" s="4"/>
    </row>
    <row r="505" spans="60:61" x14ac:dyDescent="0.25">
      <c r="BH505" s="4"/>
      <c r="BI505" s="4"/>
    </row>
    <row r="506" spans="60:61" x14ac:dyDescent="0.25">
      <c r="BH506" s="4"/>
      <c r="BI506" s="4"/>
    </row>
    <row r="507" spans="60:61" x14ac:dyDescent="0.25">
      <c r="BH507" s="4"/>
      <c r="BI507" s="4"/>
    </row>
    <row r="508" spans="60:61" x14ac:dyDescent="0.25">
      <c r="BH508" s="4"/>
      <c r="BI508" s="4"/>
    </row>
    <row r="509" spans="60:61" x14ac:dyDescent="0.25">
      <c r="BH509" s="4"/>
      <c r="BI509" s="4"/>
    </row>
    <row r="510" spans="60:61" x14ac:dyDescent="0.25">
      <c r="BH510" s="4"/>
      <c r="BI510" s="4"/>
    </row>
    <row r="511" spans="60:61" x14ac:dyDescent="0.25">
      <c r="BH511" s="4"/>
      <c r="BI511" s="4"/>
    </row>
    <row r="512" spans="60:61" x14ac:dyDescent="0.25">
      <c r="BH512" s="4"/>
      <c r="BI512" s="4"/>
    </row>
    <row r="513" spans="60:61" x14ac:dyDescent="0.25">
      <c r="BH513" s="4"/>
      <c r="BI513" s="4"/>
    </row>
    <row r="514" spans="60:61" x14ac:dyDescent="0.25">
      <c r="BH514" s="4"/>
      <c r="BI514" s="4"/>
    </row>
    <row r="515" spans="60:61" x14ac:dyDescent="0.25">
      <c r="BH515" s="4"/>
      <c r="BI515" s="4"/>
    </row>
    <row r="516" spans="60:61" x14ac:dyDescent="0.25">
      <c r="BH516" s="4"/>
      <c r="BI516" s="4"/>
    </row>
    <row r="517" spans="60:61" x14ac:dyDescent="0.25">
      <c r="BH517" s="4"/>
      <c r="BI517" s="4"/>
    </row>
    <row r="518" spans="60:61" x14ac:dyDescent="0.25">
      <c r="BH518" s="4"/>
      <c r="BI518" s="4"/>
    </row>
    <row r="519" spans="60:61" x14ac:dyDescent="0.25">
      <c r="BH519" s="4"/>
      <c r="BI519" s="4"/>
    </row>
    <row r="520" spans="60:61" x14ac:dyDescent="0.25">
      <c r="BH520" s="4"/>
      <c r="BI520" s="4"/>
    </row>
    <row r="521" spans="60:61" x14ac:dyDescent="0.25">
      <c r="BH521" s="4"/>
      <c r="BI521" s="4"/>
    </row>
    <row r="522" spans="60:61" x14ac:dyDescent="0.25">
      <c r="BH522" s="4"/>
      <c r="BI522" s="4"/>
    </row>
    <row r="523" spans="60:61" x14ac:dyDescent="0.25">
      <c r="BH523" s="4"/>
      <c r="BI523" s="4"/>
    </row>
    <row r="524" spans="60:61" x14ac:dyDescent="0.25">
      <c r="BH524" s="4"/>
      <c r="BI524" s="4"/>
    </row>
    <row r="525" spans="60:61" x14ac:dyDescent="0.25">
      <c r="BH525" s="4"/>
      <c r="BI525" s="4"/>
    </row>
    <row r="526" spans="60:61" x14ac:dyDescent="0.25">
      <c r="BH526" s="4"/>
      <c r="BI526" s="4"/>
    </row>
    <row r="527" spans="60:61" x14ac:dyDescent="0.25">
      <c r="BH527" s="4"/>
      <c r="BI527" s="4"/>
    </row>
    <row r="528" spans="60:61" x14ac:dyDescent="0.25">
      <c r="BH528" s="4"/>
      <c r="BI528" s="4"/>
    </row>
    <row r="529" spans="60:61" x14ac:dyDescent="0.25">
      <c r="BH529" s="4"/>
      <c r="BI529" s="4"/>
    </row>
    <row r="530" spans="60:61" x14ac:dyDescent="0.25">
      <c r="BH530" s="4"/>
      <c r="BI530" s="4"/>
    </row>
    <row r="531" spans="60:61" x14ac:dyDescent="0.25">
      <c r="BH531" s="4"/>
      <c r="BI531" s="4"/>
    </row>
    <row r="532" spans="60:61" x14ac:dyDescent="0.25">
      <c r="BH532" s="4"/>
      <c r="BI532" s="4"/>
    </row>
    <row r="533" spans="60:61" x14ac:dyDescent="0.25">
      <c r="BH533" s="4"/>
      <c r="BI533" s="4"/>
    </row>
    <row r="534" spans="60:61" x14ac:dyDescent="0.25">
      <c r="BH534" s="4"/>
      <c r="BI534" s="4"/>
    </row>
    <row r="535" spans="60:61" x14ac:dyDescent="0.25">
      <c r="BH535" s="4"/>
      <c r="BI535" s="4"/>
    </row>
    <row r="536" spans="60:61" x14ac:dyDescent="0.25">
      <c r="BH536" s="4"/>
      <c r="BI536" s="4"/>
    </row>
    <row r="537" spans="60:61" x14ac:dyDescent="0.25">
      <c r="BH537" s="4"/>
      <c r="BI537" s="4"/>
    </row>
    <row r="538" spans="60:61" x14ac:dyDescent="0.25">
      <c r="BH538" s="4"/>
      <c r="BI538" s="4"/>
    </row>
    <row r="539" spans="60:61" x14ac:dyDescent="0.25">
      <c r="BH539" s="4"/>
      <c r="BI539" s="4"/>
    </row>
    <row r="540" spans="60:61" x14ac:dyDescent="0.25">
      <c r="BH540" s="4"/>
      <c r="BI540" s="4"/>
    </row>
    <row r="541" spans="60:61" x14ac:dyDescent="0.25">
      <c r="BH541" s="4"/>
      <c r="BI541" s="4"/>
    </row>
    <row r="542" spans="60:61" x14ac:dyDescent="0.25">
      <c r="BH542" s="4"/>
      <c r="BI542" s="4"/>
    </row>
    <row r="543" spans="60:61" x14ac:dyDescent="0.25">
      <c r="BH543" s="4"/>
      <c r="BI543" s="4"/>
    </row>
    <row r="544" spans="60:61" x14ac:dyDescent="0.25">
      <c r="BH544" s="4"/>
      <c r="BI544" s="4"/>
    </row>
    <row r="545" spans="60:61" x14ac:dyDescent="0.25">
      <c r="BH545" s="4"/>
      <c r="BI545" s="4"/>
    </row>
    <row r="546" spans="60:61" x14ac:dyDescent="0.25">
      <c r="BH546" s="4"/>
      <c r="BI546" s="4"/>
    </row>
    <row r="547" spans="60:61" x14ac:dyDescent="0.25">
      <c r="BH547" s="4"/>
      <c r="BI547" s="4"/>
    </row>
    <row r="548" spans="60:61" x14ac:dyDescent="0.25">
      <c r="BH548" s="4"/>
      <c r="BI548" s="4"/>
    </row>
    <row r="549" spans="60:61" x14ac:dyDescent="0.25">
      <c r="BH549" s="4"/>
      <c r="BI549" s="4"/>
    </row>
    <row r="550" spans="60:61" x14ac:dyDescent="0.25">
      <c r="BH550" s="4"/>
      <c r="BI550" s="4"/>
    </row>
    <row r="551" spans="60:61" x14ac:dyDescent="0.25">
      <c r="BH551" s="4"/>
      <c r="BI551" s="4"/>
    </row>
    <row r="552" spans="60:61" x14ac:dyDescent="0.25">
      <c r="BH552" s="4"/>
      <c r="BI552" s="4"/>
    </row>
    <row r="553" spans="60:61" x14ac:dyDescent="0.25">
      <c r="BH553" s="4"/>
      <c r="BI553" s="4"/>
    </row>
    <row r="554" spans="60:61" x14ac:dyDescent="0.25">
      <c r="BH554" s="4"/>
      <c r="BI554" s="4"/>
    </row>
    <row r="555" spans="60:61" x14ac:dyDescent="0.25">
      <c r="BH555" s="4"/>
      <c r="BI555" s="4"/>
    </row>
    <row r="556" spans="60:61" x14ac:dyDescent="0.25">
      <c r="BH556" s="4"/>
      <c r="BI556" s="4"/>
    </row>
    <row r="557" spans="60:61" x14ac:dyDescent="0.25">
      <c r="BH557" s="4"/>
      <c r="BI557" s="4"/>
    </row>
    <row r="558" spans="60:61" x14ac:dyDescent="0.25">
      <c r="BH558" s="4"/>
      <c r="BI558" s="4"/>
    </row>
    <row r="559" spans="60:61" x14ac:dyDescent="0.25">
      <c r="BH559" s="4"/>
      <c r="BI559" s="4"/>
    </row>
    <row r="560" spans="60:61" x14ac:dyDescent="0.25">
      <c r="BH560" s="4"/>
      <c r="BI560" s="4"/>
    </row>
    <row r="561" spans="60:61" x14ac:dyDescent="0.25">
      <c r="BH561" s="4"/>
      <c r="BI561" s="4"/>
    </row>
    <row r="562" spans="60:61" x14ac:dyDescent="0.25">
      <c r="BH562" s="4"/>
      <c r="BI562" s="4"/>
    </row>
    <row r="563" spans="60:61" x14ac:dyDescent="0.25">
      <c r="BH563" s="4"/>
      <c r="BI563" s="4"/>
    </row>
    <row r="564" spans="60:61" x14ac:dyDescent="0.25">
      <c r="BH564" s="4"/>
      <c r="BI564" s="4"/>
    </row>
    <row r="565" spans="60:61" x14ac:dyDescent="0.25">
      <c r="BH565" s="4"/>
      <c r="BI565" s="4"/>
    </row>
    <row r="566" spans="60:61" x14ac:dyDescent="0.25">
      <c r="BH566" s="4"/>
      <c r="BI566" s="4"/>
    </row>
    <row r="567" spans="60:61" x14ac:dyDescent="0.25">
      <c r="BH567" s="4"/>
      <c r="BI567" s="4"/>
    </row>
    <row r="568" spans="60:61" x14ac:dyDescent="0.25">
      <c r="BH568" s="4"/>
      <c r="BI568" s="4"/>
    </row>
    <row r="569" spans="60:61" x14ac:dyDescent="0.25">
      <c r="BH569" s="4"/>
      <c r="BI569" s="4"/>
    </row>
    <row r="570" spans="60:61" x14ac:dyDescent="0.25">
      <c r="BH570" s="4"/>
      <c r="BI570" s="4"/>
    </row>
    <row r="571" spans="60:61" x14ac:dyDescent="0.25">
      <c r="BH571" s="4"/>
      <c r="BI571" s="4"/>
    </row>
    <row r="572" spans="60:61" x14ac:dyDescent="0.25">
      <c r="BH572" s="4"/>
      <c r="BI572" s="4"/>
    </row>
    <row r="573" spans="60:61" x14ac:dyDescent="0.25">
      <c r="BH573" s="4"/>
      <c r="BI573" s="4"/>
    </row>
    <row r="574" spans="60:61" x14ac:dyDescent="0.25">
      <c r="BH574" s="4"/>
      <c r="BI574" s="4"/>
    </row>
    <row r="575" spans="60:61" x14ac:dyDescent="0.25">
      <c r="BH575" s="4"/>
      <c r="BI575" s="4"/>
    </row>
    <row r="576" spans="60:61" x14ac:dyDescent="0.25">
      <c r="BH576" s="4"/>
      <c r="BI576" s="4"/>
    </row>
    <row r="577" spans="60:61" x14ac:dyDescent="0.25">
      <c r="BH577" s="4"/>
      <c r="BI577" s="4"/>
    </row>
    <row r="578" spans="60:61" x14ac:dyDescent="0.25">
      <c r="BH578" s="4"/>
      <c r="BI578" s="4"/>
    </row>
    <row r="579" spans="60:61" x14ac:dyDescent="0.25">
      <c r="BH579" s="4"/>
      <c r="BI579" s="4"/>
    </row>
    <row r="580" spans="60:61" x14ac:dyDescent="0.25">
      <c r="BH580" s="4"/>
      <c r="BI580" s="4"/>
    </row>
    <row r="581" spans="60:61" x14ac:dyDescent="0.25">
      <c r="BH581" s="4"/>
      <c r="BI581" s="4"/>
    </row>
    <row r="582" spans="60:61" x14ac:dyDescent="0.25">
      <c r="BH582" s="4"/>
      <c r="BI582" s="4"/>
    </row>
    <row r="583" spans="60:61" x14ac:dyDescent="0.25">
      <c r="BH583" s="4"/>
      <c r="BI583" s="4"/>
    </row>
    <row r="584" spans="60:61" x14ac:dyDescent="0.25">
      <c r="BH584" s="4"/>
      <c r="BI584" s="4"/>
    </row>
    <row r="585" spans="60:61" x14ac:dyDescent="0.25">
      <c r="BH585" s="4"/>
      <c r="BI585" s="4"/>
    </row>
    <row r="586" spans="60:61" x14ac:dyDescent="0.25">
      <c r="BH586" s="4"/>
      <c r="BI586" s="4"/>
    </row>
    <row r="587" spans="60:61" x14ac:dyDescent="0.25">
      <c r="BH587" s="4"/>
      <c r="BI587" s="4"/>
    </row>
    <row r="588" spans="60:61" x14ac:dyDescent="0.25">
      <c r="BH588" s="4"/>
      <c r="BI588" s="4"/>
    </row>
    <row r="589" spans="60:61" x14ac:dyDescent="0.25">
      <c r="BH589" s="4"/>
      <c r="BI589" s="4"/>
    </row>
    <row r="590" spans="60:61" x14ac:dyDescent="0.25">
      <c r="BH590" s="4"/>
      <c r="BI590" s="4"/>
    </row>
    <row r="591" spans="60:61" x14ac:dyDescent="0.25">
      <c r="BH591" s="4"/>
      <c r="BI591" s="4"/>
    </row>
    <row r="592" spans="60:61" x14ac:dyDescent="0.25">
      <c r="BH592" s="4"/>
      <c r="BI592" s="4"/>
    </row>
    <row r="593" spans="60:61" x14ac:dyDescent="0.25">
      <c r="BH593" s="4"/>
      <c r="BI593" s="4"/>
    </row>
    <row r="594" spans="60:61" x14ac:dyDescent="0.25">
      <c r="BH594" s="4"/>
      <c r="BI594" s="4"/>
    </row>
    <row r="595" spans="60:61" x14ac:dyDescent="0.25">
      <c r="BH595" s="4"/>
      <c r="BI595" s="4"/>
    </row>
    <row r="596" spans="60:61" x14ac:dyDescent="0.25">
      <c r="BH596" s="4"/>
      <c r="BI596" s="4"/>
    </row>
    <row r="597" spans="60:61" x14ac:dyDescent="0.25">
      <c r="BH597" s="4"/>
      <c r="BI597" s="4"/>
    </row>
    <row r="598" spans="60:61" x14ac:dyDescent="0.25">
      <c r="BH598" s="4"/>
      <c r="BI598" s="4"/>
    </row>
    <row r="599" spans="60:61" x14ac:dyDescent="0.25">
      <c r="BH599" s="4"/>
      <c r="BI599" s="4"/>
    </row>
    <row r="600" spans="60:61" x14ac:dyDescent="0.25">
      <c r="BH600" s="4"/>
      <c r="BI600" s="4"/>
    </row>
    <row r="601" spans="60:61" x14ac:dyDescent="0.25">
      <c r="BH601" s="4"/>
      <c r="BI601" s="4"/>
    </row>
    <row r="602" spans="60:61" x14ac:dyDescent="0.25">
      <c r="BH602" s="4"/>
      <c r="BI602" s="4"/>
    </row>
    <row r="603" spans="60:61" x14ac:dyDescent="0.25">
      <c r="BH603" s="4"/>
      <c r="BI603" s="4"/>
    </row>
    <row r="604" spans="60:61" x14ac:dyDescent="0.25">
      <c r="BH604" s="4"/>
      <c r="BI604" s="4"/>
    </row>
    <row r="605" spans="60:61" x14ac:dyDescent="0.25">
      <c r="BH605" s="4"/>
      <c r="BI605" s="4"/>
    </row>
    <row r="606" spans="60:61" x14ac:dyDescent="0.25">
      <c r="BH606" s="4"/>
      <c r="BI606" s="4"/>
    </row>
    <row r="607" spans="60:61" x14ac:dyDescent="0.25">
      <c r="BH607" s="4"/>
      <c r="BI607" s="4"/>
    </row>
    <row r="608" spans="60:61" x14ac:dyDescent="0.25">
      <c r="BH608" s="4"/>
      <c r="BI608" s="4"/>
    </row>
    <row r="609" spans="60:61" x14ac:dyDescent="0.25">
      <c r="BH609" s="4"/>
      <c r="BI609" s="4"/>
    </row>
    <row r="610" spans="60:61" x14ac:dyDescent="0.25">
      <c r="BH610" s="4"/>
      <c r="BI610" s="4"/>
    </row>
    <row r="611" spans="60:61" x14ac:dyDescent="0.25">
      <c r="BH611" s="4"/>
      <c r="BI611" s="4"/>
    </row>
    <row r="612" spans="60:61" x14ac:dyDescent="0.25">
      <c r="BH612" s="4"/>
      <c r="BI612" s="4"/>
    </row>
    <row r="613" spans="60:61" x14ac:dyDescent="0.25">
      <c r="BH613" s="4"/>
      <c r="BI613" s="4"/>
    </row>
    <row r="614" spans="60:61" x14ac:dyDescent="0.25">
      <c r="BH614" s="4"/>
      <c r="BI614" s="4"/>
    </row>
    <row r="615" spans="60:61" x14ac:dyDescent="0.25">
      <c r="BH615" s="4"/>
      <c r="BI615" s="4"/>
    </row>
    <row r="616" spans="60:61" x14ac:dyDescent="0.25">
      <c r="BH616" s="4"/>
      <c r="BI616" s="4"/>
    </row>
    <row r="617" spans="60:61" x14ac:dyDescent="0.25">
      <c r="BH617" s="4"/>
      <c r="BI617" s="4"/>
    </row>
    <row r="618" spans="60:61" x14ac:dyDescent="0.25">
      <c r="BH618" s="4"/>
      <c r="BI618" s="4"/>
    </row>
    <row r="619" spans="60:61" x14ac:dyDescent="0.25">
      <c r="BH619" s="4"/>
      <c r="BI619" s="4"/>
    </row>
    <row r="620" spans="60:61" x14ac:dyDescent="0.25">
      <c r="BH620" s="4"/>
      <c r="BI620" s="4"/>
    </row>
    <row r="621" spans="60:61" x14ac:dyDescent="0.25">
      <c r="BH621" s="4"/>
      <c r="BI621" s="4"/>
    </row>
    <row r="622" spans="60:61" x14ac:dyDescent="0.25">
      <c r="BH622" s="4"/>
      <c r="BI622" s="4"/>
    </row>
    <row r="623" spans="60:61" x14ac:dyDescent="0.25">
      <c r="BH623" s="4"/>
      <c r="BI623" s="4"/>
    </row>
    <row r="624" spans="60:61" x14ac:dyDescent="0.25">
      <c r="BH624" s="4"/>
      <c r="BI624" s="4"/>
    </row>
    <row r="625" spans="60:61" x14ac:dyDescent="0.25">
      <c r="BH625" s="4"/>
      <c r="BI625" s="4"/>
    </row>
    <row r="626" spans="60:61" x14ac:dyDescent="0.25">
      <c r="BH626" s="4"/>
      <c r="BI626" s="4"/>
    </row>
    <row r="627" spans="60:61" x14ac:dyDescent="0.25">
      <c r="BH627" s="4"/>
      <c r="BI627" s="4"/>
    </row>
    <row r="628" spans="60:61" x14ac:dyDescent="0.25">
      <c r="BH628" s="4"/>
      <c r="BI628" s="4"/>
    </row>
    <row r="629" spans="60:61" x14ac:dyDescent="0.25">
      <c r="BH629" s="4"/>
      <c r="BI629" s="4"/>
    </row>
    <row r="630" spans="60:61" x14ac:dyDescent="0.25">
      <c r="BH630" s="4"/>
      <c r="BI630" s="4"/>
    </row>
    <row r="631" spans="60:61" x14ac:dyDescent="0.25">
      <c r="BH631" s="4"/>
      <c r="BI631" s="4"/>
    </row>
    <row r="632" spans="60:61" x14ac:dyDescent="0.25">
      <c r="BH632" s="4"/>
      <c r="BI632" s="4"/>
    </row>
    <row r="633" spans="60:61" x14ac:dyDescent="0.25">
      <c r="BH633" s="4"/>
      <c r="BI633" s="4"/>
    </row>
    <row r="634" spans="60:61" x14ac:dyDescent="0.25">
      <c r="BH634" s="4"/>
      <c r="BI634" s="4"/>
    </row>
    <row r="635" spans="60:61" x14ac:dyDescent="0.25">
      <c r="BH635" s="4"/>
      <c r="BI635" s="4"/>
    </row>
    <row r="636" spans="60:61" x14ac:dyDescent="0.25">
      <c r="BH636" s="4"/>
      <c r="BI636" s="4"/>
    </row>
    <row r="637" spans="60:61" x14ac:dyDescent="0.25">
      <c r="BH637" s="4"/>
      <c r="BI637" s="4"/>
    </row>
    <row r="638" spans="60:61" x14ac:dyDescent="0.25">
      <c r="BH638" s="4"/>
      <c r="BI638" s="4"/>
    </row>
    <row r="639" spans="60:61" x14ac:dyDescent="0.25">
      <c r="BH639" s="4"/>
      <c r="BI639" s="4"/>
    </row>
    <row r="640" spans="60:61" x14ac:dyDescent="0.25">
      <c r="BH640" s="4"/>
      <c r="BI640" s="4"/>
    </row>
    <row r="641" spans="60:61" x14ac:dyDescent="0.25">
      <c r="BH641" s="4"/>
      <c r="BI641" s="4"/>
    </row>
    <row r="642" spans="60:61" x14ac:dyDescent="0.25">
      <c r="BH642" s="4"/>
      <c r="BI642" s="4"/>
    </row>
    <row r="643" spans="60:61" x14ac:dyDescent="0.25">
      <c r="BH643" s="4"/>
      <c r="BI643" s="4"/>
    </row>
    <row r="644" spans="60:61" x14ac:dyDescent="0.25">
      <c r="BH644" s="4"/>
      <c r="BI644" s="4"/>
    </row>
    <row r="645" spans="60:61" x14ac:dyDescent="0.25">
      <c r="BH645" s="4"/>
      <c r="BI645" s="4"/>
    </row>
    <row r="646" spans="60:61" x14ac:dyDescent="0.25">
      <c r="BH646" s="4"/>
      <c r="BI646" s="4"/>
    </row>
    <row r="647" spans="60:61" x14ac:dyDescent="0.25">
      <c r="BH647" s="4"/>
      <c r="BI647" s="4"/>
    </row>
    <row r="648" spans="60:61" x14ac:dyDescent="0.25">
      <c r="BH648" s="4"/>
      <c r="BI648" s="4"/>
    </row>
    <row r="649" spans="60:61" x14ac:dyDescent="0.25">
      <c r="BH649" s="4"/>
      <c r="BI649" s="4"/>
    </row>
    <row r="650" spans="60:61" x14ac:dyDescent="0.25">
      <c r="BH650" s="4"/>
      <c r="BI650" s="4"/>
    </row>
    <row r="651" spans="60:61" x14ac:dyDescent="0.25">
      <c r="BH651" s="4"/>
      <c r="BI651" s="4"/>
    </row>
    <row r="652" spans="60:61" x14ac:dyDescent="0.25">
      <c r="BH652" s="4"/>
      <c r="BI652" s="4"/>
    </row>
    <row r="653" spans="60:61" x14ac:dyDescent="0.25">
      <c r="BH653" s="4"/>
      <c r="BI653" s="4"/>
    </row>
    <row r="654" spans="60:61" x14ac:dyDescent="0.25">
      <c r="BH654" s="4"/>
      <c r="BI654" s="4"/>
    </row>
    <row r="655" spans="60:61" x14ac:dyDescent="0.25">
      <c r="BH655" s="4"/>
      <c r="BI655" s="4"/>
    </row>
    <row r="656" spans="60:61" x14ac:dyDescent="0.25">
      <c r="BH656" s="4"/>
      <c r="BI656" s="4"/>
    </row>
    <row r="657" spans="60:61" x14ac:dyDescent="0.25">
      <c r="BH657" s="4"/>
      <c r="BI657" s="4"/>
    </row>
    <row r="658" spans="60:61" x14ac:dyDescent="0.25">
      <c r="BH658" s="4"/>
      <c r="BI658" s="4"/>
    </row>
    <row r="659" spans="60:61" x14ac:dyDescent="0.25">
      <c r="BH659" s="4"/>
      <c r="BI659" s="4"/>
    </row>
    <row r="660" spans="60:61" x14ac:dyDescent="0.25">
      <c r="BH660" s="4"/>
      <c r="BI660" s="4"/>
    </row>
    <row r="661" spans="60:61" x14ac:dyDescent="0.25">
      <c r="BH661" s="4"/>
      <c r="BI661" s="4"/>
    </row>
    <row r="662" spans="60:61" x14ac:dyDescent="0.25">
      <c r="BH662" s="4"/>
      <c r="BI662" s="4"/>
    </row>
    <row r="663" spans="60:61" x14ac:dyDescent="0.25">
      <c r="BH663" s="4"/>
      <c r="BI663" s="4"/>
    </row>
    <row r="664" spans="60:61" x14ac:dyDescent="0.25">
      <c r="BH664" s="4"/>
      <c r="BI664" s="4"/>
    </row>
    <row r="665" spans="60:61" x14ac:dyDescent="0.25">
      <c r="BH665" s="4"/>
      <c r="BI665" s="4"/>
    </row>
    <row r="666" spans="60:61" x14ac:dyDescent="0.25">
      <c r="BH666" s="4"/>
      <c r="BI666" s="4"/>
    </row>
    <row r="667" spans="60:61" x14ac:dyDescent="0.25">
      <c r="BH667" s="4"/>
      <c r="BI667" s="4"/>
    </row>
    <row r="668" spans="60:61" x14ac:dyDescent="0.25">
      <c r="BH668" s="4"/>
      <c r="BI668" s="4"/>
    </row>
    <row r="669" spans="60:61" x14ac:dyDescent="0.25">
      <c r="BH669" s="4"/>
      <c r="BI669" s="4"/>
    </row>
    <row r="670" spans="60:61" x14ac:dyDescent="0.25">
      <c r="BH670" s="4"/>
      <c r="BI670" s="4"/>
    </row>
    <row r="671" spans="60:61" x14ac:dyDescent="0.25">
      <c r="BH671" s="4"/>
      <c r="BI671" s="4"/>
    </row>
    <row r="672" spans="60:61" x14ac:dyDescent="0.25">
      <c r="BH672" s="4"/>
      <c r="BI672" s="4"/>
    </row>
    <row r="673" spans="60:61" x14ac:dyDescent="0.25">
      <c r="BH673" s="4"/>
      <c r="BI673" s="4"/>
    </row>
    <row r="674" spans="60:61" x14ac:dyDescent="0.25">
      <c r="BH674" s="4"/>
      <c r="BI674" s="4"/>
    </row>
    <row r="675" spans="60:61" x14ac:dyDescent="0.25">
      <c r="BH675" s="4"/>
      <c r="BI675" s="4"/>
    </row>
    <row r="676" spans="60:61" x14ac:dyDescent="0.25">
      <c r="BH676" s="4"/>
      <c r="BI676" s="4"/>
    </row>
    <row r="677" spans="60:61" x14ac:dyDescent="0.25">
      <c r="BH677" s="4"/>
      <c r="BI677" s="4"/>
    </row>
    <row r="678" spans="60:61" x14ac:dyDescent="0.25">
      <c r="BH678" s="4"/>
      <c r="BI678" s="4"/>
    </row>
    <row r="679" spans="60:61" x14ac:dyDescent="0.25">
      <c r="BH679" s="4"/>
      <c r="BI679" s="4"/>
    </row>
    <row r="680" spans="60:61" x14ac:dyDescent="0.25">
      <c r="BH680" s="4"/>
      <c r="BI680" s="4"/>
    </row>
    <row r="681" spans="60:61" x14ac:dyDescent="0.25">
      <c r="BH681" s="4"/>
      <c r="BI681" s="4"/>
    </row>
    <row r="682" spans="60:61" x14ac:dyDescent="0.25">
      <c r="BH682" s="4"/>
      <c r="BI682" s="4"/>
    </row>
    <row r="683" spans="60:61" x14ac:dyDescent="0.25">
      <c r="BH683" s="4"/>
      <c r="BI683" s="4"/>
    </row>
    <row r="684" spans="60:61" x14ac:dyDescent="0.25">
      <c r="BH684" s="4"/>
      <c r="BI684" s="4"/>
    </row>
    <row r="685" spans="60:61" x14ac:dyDescent="0.25">
      <c r="BH685" s="4"/>
      <c r="BI685" s="4"/>
    </row>
    <row r="686" spans="60:61" x14ac:dyDescent="0.25">
      <c r="BH686" s="4"/>
      <c r="BI686" s="4"/>
    </row>
    <row r="687" spans="60:61" x14ac:dyDescent="0.25">
      <c r="BH687" s="4"/>
      <c r="BI687" s="4"/>
    </row>
    <row r="688" spans="60:61" x14ac:dyDescent="0.25">
      <c r="BH688" s="4"/>
      <c r="BI688" s="4"/>
    </row>
    <row r="689" spans="60:61" x14ac:dyDescent="0.25">
      <c r="BH689" s="4"/>
      <c r="BI689" s="4"/>
    </row>
    <row r="690" spans="60:61" x14ac:dyDescent="0.25">
      <c r="BH690" s="4"/>
      <c r="BI690" s="4"/>
    </row>
    <row r="691" spans="60:61" x14ac:dyDescent="0.25">
      <c r="BH691" s="4"/>
      <c r="BI691" s="4"/>
    </row>
    <row r="692" spans="60:61" x14ac:dyDescent="0.25">
      <c r="BH692" s="4"/>
      <c r="BI692" s="4"/>
    </row>
    <row r="693" spans="60:61" x14ac:dyDescent="0.25">
      <c r="BH693" s="4"/>
      <c r="BI693" s="4"/>
    </row>
    <row r="694" spans="60:61" x14ac:dyDescent="0.25">
      <c r="BH694" s="4"/>
      <c r="BI694" s="4"/>
    </row>
    <row r="695" spans="60:61" x14ac:dyDescent="0.25">
      <c r="BH695" s="4"/>
      <c r="BI695" s="4"/>
    </row>
    <row r="696" spans="60:61" x14ac:dyDescent="0.25">
      <c r="BH696" s="4"/>
      <c r="BI696" s="4"/>
    </row>
    <row r="697" spans="60:61" x14ac:dyDescent="0.25">
      <c r="BH697" s="4"/>
      <c r="BI697" s="4"/>
    </row>
    <row r="698" spans="60:61" x14ac:dyDescent="0.25">
      <c r="BH698" s="4"/>
      <c r="BI698" s="4"/>
    </row>
    <row r="699" spans="60:61" x14ac:dyDescent="0.25">
      <c r="BH699" s="4"/>
      <c r="BI699" s="4"/>
    </row>
    <row r="700" spans="60:61" x14ac:dyDescent="0.25">
      <c r="BH700" s="4"/>
      <c r="BI700" s="4"/>
    </row>
    <row r="701" spans="60:61" x14ac:dyDescent="0.25">
      <c r="BH701" s="4"/>
      <c r="BI701" s="4"/>
    </row>
    <row r="702" spans="60:61" x14ac:dyDescent="0.25">
      <c r="BH702" s="4"/>
      <c r="BI702" s="4"/>
    </row>
    <row r="703" spans="60:61" x14ac:dyDescent="0.25">
      <c r="BH703" s="4"/>
      <c r="BI703" s="4"/>
    </row>
    <row r="704" spans="60:61" x14ac:dyDescent="0.25">
      <c r="BH704" s="4"/>
      <c r="BI704" s="4"/>
    </row>
    <row r="705" spans="60:61" x14ac:dyDescent="0.25">
      <c r="BH705" s="4"/>
      <c r="BI705" s="4"/>
    </row>
    <row r="706" spans="60:61" x14ac:dyDescent="0.25">
      <c r="BH706" s="4"/>
      <c r="BI706" s="4"/>
    </row>
    <row r="707" spans="60:61" x14ac:dyDescent="0.25">
      <c r="BH707" s="4"/>
      <c r="BI707" s="4"/>
    </row>
    <row r="708" spans="60:61" x14ac:dyDescent="0.25">
      <c r="BH708" s="4"/>
      <c r="BI708" s="4"/>
    </row>
    <row r="709" spans="60:61" x14ac:dyDescent="0.25">
      <c r="BH709" s="4"/>
      <c r="BI709" s="4"/>
    </row>
    <row r="710" spans="60:61" x14ac:dyDescent="0.25">
      <c r="BH710" s="4"/>
      <c r="BI710" s="4"/>
    </row>
    <row r="711" spans="60:61" x14ac:dyDescent="0.25">
      <c r="BH711" s="4"/>
      <c r="BI711" s="4"/>
    </row>
    <row r="712" spans="60:61" x14ac:dyDescent="0.25">
      <c r="BH712" s="4"/>
      <c r="BI712" s="4"/>
    </row>
    <row r="713" spans="60:61" x14ac:dyDescent="0.25">
      <c r="BH713" s="4"/>
      <c r="BI713" s="4"/>
    </row>
    <row r="714" spans="60:61" x14ac:dyDescent="0.25">
      <c r="BH714" s="4"/>
      <c r="BI714" s="4"/>
    </row>
    <row r="715" spans="60:61" x14ac:dyDescent="0.25">
      <c r="BH715" s="4"/>
      <c r="BI715" s="4"/>
    </row>
    <row r="716" spans="60:61" x14ac:dyDescent="0.25">
      <c r="BH716" s="4"/>
      <c r="BI716" s="4"/>
    </row>
    <row r="717" spans="60:61" x14ac:dyDescent="0.25">
      <c r="BH717" s="4"/>
      <c r="BI717" s="4"/>
    </row>
    <row r="718" spans="60:61" x14ac:dyDescent="0.25">
      <c r="BH718" s="4"/>
      <c r="BI718" s="4"/>
    </row>
    <row r="719" spans="60:61" x14ac:dyDescent="0.25">
      <c r="BH719" s="4"/>
      <c r="BI719" s="4"/>
    </row>
    <row r="720" spans="60:61" x14ac:dyDescent="0.25">
      <c r="BH720" s="4"/>
      <c r="BI720" s="4"/>
    </row>
    <row r="721" spans="60:61" x14ac:dyDescent="0.25">
      <c r="BH721" s="4"/>
      <c r="BI721" s="4"/>
    </row>
    <row r="722" spans="60:61" x14ac:dyDescent="0.25">
      <c r="BH722" s="4"/>
      <c r="BI722" s="4"/>
    </row>
    <row r="723" spans="60:61" x14ac:dyDescent="0.25">
      <c r="BH723" s="4"/>
      <c r="BI723" s="4"/>
    </row>
    <row r="724" spans="60:61" x14ac:dyDescent="0.25">
      <c r="BH724" s="4"/>
      <c r="BI724" s="4"/>
    </row>
    <row r="725" spans="60:61" x14ac:dyDescent="0.25">
      <c r="BH725" s="4"/>
      <c r="BI725" s="4"/>
    </row>
    <row r="726" spans="60:61" x14ac:dyDescent="0.25">
      <c r="BH726" s="4"/>
      <c r="BI726" s="4"/>
    </row>
    <row r="727" spans="60:61" x14ac:dyDescent="0.25">
      <c r="BH727" s="4"/>
      <c r="BI727" s="4"/>
    </row>
    <row r="728" spans="60:61" x14ac:dyDescent="0.25">
      <c r="BH728" s="4"/>
      <c r="BI728" s="4"/>
    </row>
    <row r="729" spans="60:61" x14ac:dyDescent="0.25">
      <c r="BH729" s="4"/>
      <c r="BI729" s="4"/>
    </row>
    <row r="730" spans="60:61" x14ac:dyDescent="0.25">
      <c r="BH730" s="4"/>
      <c r="BI730" s="4"/>
    </row>
    <row r="731" spans="60:61" x14ac:dyDescent="0.25">
      <c r="BH731" s="4"/>
      <c r="BI731" s="4"/>
    </row>
    <row r="732" spans="60:61" x14ac:dyDescent="0.25">
      <c r="BH732" s="4"/>
      <c r="BI732" s="4"/>
    </row>
    <row r="733" spans="60:61" x14ac:dyDescent="0.25">
      <c r="BH733" s="4"/>
      <c r="BI733" s="4"/>
    </row>
    <row r="734" spans="60:61" x14ac:dyDescent="0.25">
      <c r="BH734" s="4"/>
      <c r="BI734" s="4"/>
    </row>
    <row r="735" spans="60:61" x14ac:dyDescent="0.25">
      <c r="BH735" s="4"/>
      <c r="BI735" s="4"/>
    </row>
    <row r="736" spans="60:61" x14ac:dyDescent="0.25">
      <c r="BH736" s="4"/>
      <c r="BI736" s="4"/>
    </row>
    <row r="737" spans="60:61" x14ac:dyDescent="0.25">
      <c r="BH737" s="4"/>
      <c r="BI737" s="4"/>
    </row>
    <row r="738" spans="60:61" x14ac:dyDescent="0.25">
      <c r="BH738" s="4"/>
      <c r="BI738" s="4"/>
    </row>
    <row r="739" spans="60:61" x14ac:dyDescent="0.25">
      <c r="BH739" s="4"/>
      <c r="BI739" s="4"/>
    </row>
    <row r="740" spans="60:61" x14ac:dyDescent="0.25">
      <c r="BH740" s="4"/>
      <c r="BI740" s="4"/>
    </row>
    <row r="741" spans="60:61" x14ac:dyDescent="0.25">
      <c r="BH741" s="4"/>
      <c r="BI741" s="4"/>
    </row>
    <row r="742" spans="60:61" x14ac:dyDescent="0.25">
      <c r="BH742" s="4"/>
      <c r="BI742" s="4"/>
    </row>
    <row r="743" spans="60:61" x14ac:dyDescent="0.25">
      <c r="BH743" s="4"/>
      <c r="BI743" s="4"/>
    </row>
    <row r="744" spans="60:61" x14ac:dyDescent="0.25">
      <c r="BH744" s="4"/>
      <c r="BI744" s="4"/>
    </row>
    <row r="745" spans="60:61" x14ac:dyDescent="0.25">
      <c r="BH745" s="4"/>
      <c r="BI745" s="4"/>
    </row>
    <row r="746" spans="60:61" x14ac:dyDescent="0.25">
      <c r="BH746" s="4"/>
      <c r="BI746" s="4"/>
    </row>
    <row r="747" spans="60:61" x14ac:dyDescent="0.25">
      <c r="BH747" s="4"/>
      <c r="BI747" s="4"/>
    </row>
    <row r="748" spans="60:61" x14ac:dyDescent="0.25">
      <c r="BH748" s="4"/>
      <c r="BI748" s="4"/>
    </row>
    <row r="749" spans="60:61" x14ac:dyDescent="0.25">
      <c r="BH749" s="4"/>
      <c r="BI749" s="4"/>
    </row>
    <row r="750" spans="60:61" x14ac:dyDescent="0.25">
      <c r="BH750" s="4"/>
      <c r="BI750" s="4"/>
    </row>
    <row r="751" spans="60:61" x14ac:dyDescent="0.25">
      <c r="BH751" s="4"/>
      <c r="BI751" s="4"/>
    </row>
    <row r="752" spans="60:61" x14ac:dyDescent="0.25">
      <c r="BH752" s="4"/>
      <c r="BI752" s="4"/>
    </row>
    <row r="753" spans="60:61" x14ac:dyDescent="0.25">
      <c r="BH753" s="4"/>
      <c r="BI753" s="4"/>
    </row>
    <row r="754" spans="60:61" x14ac:dyDescent="0.25">
      <c r="BH754" s="4"/>
      <c r="BI754" s="4"/>
    </row>
    <row r="755" spans="60:61" x14ac:dyDescent="0.25">
      <c r="BH755" s="4"/>
      <c r="BI755" s="4"/>
    </row>
    <row r="756" spans="60:61" x14ac:dyDescent="0.25">
      <c r="BH756" s="4"/>
      <c r="BI756" s="4"/>
    </row>
    <row r="757" spans="60:61" x14ac:dyDescent="0.25">
      <c r="BH757" s="4"/>
      <c r="BI757" s="4"/>
    </row>
    <row r="758" spans="60:61" x14ac:dyDescent="0.25">
      <c r="BH758" s="4"/>
      <c r="BI758" s="4"/>
    </row>
    <row r="759" spans="60:61" x14ac:dyDescent="0.25">
      <c r="BH759" s="4"/>
      <c r="BI759" s="4"/>
    </row>
    <row r="760" spans="60:61" x14ac:dyDescent="0.25">
      <c r="BH760" s="4"/>
      <c r="BI760" s="4"/>
    </row>
    <row r="761" spans="60:61" x14ac:dyDescent="0.25">
      <c r="BH761" s="4"/>
      <c r="BI761" s="4"/>
    </row>
    <row r="762" spans="60:61" x14ac:dyDescent="0.25">
      <c r="BH762" s="4"/>
      <c r="BI762" s="4"/>
    </row>
    <row r="763" spans="60:61" x14ac:dyDescent="0.25">
      <c r="BH763" s="4"/>
      <c r="BI763" s="4"/>
    </row>
    <row r="764" spans="60:61" x14ac:dyDescent="0.25">
      <c r="BH764" s="4"/>
      <c r="BI764" s="4"/>
    </row>
    <row r="765" spans="60:61" x14ac:dyDescent="0.25">
      <c r="BH765" s="4"/>
      <c r="BI765" s="4"/>
    </row>
    <row r="766" spans="60:61" x14ac:dyDescent="0.25">
      <c r="BH766" s="4"/>
      <c r="BI766" s="4"/>
    </row>
    <row r="767" spans="60:61" x14ac:dyDescent="0.25">
      <c r="BH767" s="4"/>
      <c r="BI767" s="4"/>
    </row>
    <row r="768" spans="60:61" x14ac:dyDescent="0.25">
      <c r="BH768" s="4"/>
      <c r="BI768" s="4"/>
    </row>
    <row r="769" spans="60:61" x14ac:dyDescent="0.25">
      <c r="BH769" s="4"/>
      <c r="BI769" s="4"/>
    </row>
    <row r="770" spans="60:61" x14ac:dyDescent="0.25">
      <c r="BH770" s="4"/>
      <c r="BI770" s="4"/>
    </row>
    <row r="771" spans="60:61" x14ac:dyDescent="0.25">
      <c r="BH771" s="4"/>
      <c r="BI771" s="4"/>
    </row>
    <row r="772" spans="60:61" x14ac:dyDescent="0.25">
      <c r="BH772" s="4"/>
      <c r="BI772" s="4"/>
    </row>
    <row r="773" spans="60:61" x14ac:dyDescent="0.25">
      <c r="BH773" s="4"/>
      <c r="BI773" s="4"/>
    </row>
    <row r="774" spans="60:61" x14ac:dyDescent="0.25">
      <c r="BH774" s="4"/>
      <c r="BI774" s="4"/>
    </row>
    <row r="775" spans="60:61" x14ac:dyDescent="0.25">
      <c r="BH775" s="4"/>
      <c r="BI775" s="4"/>
    </row>
    <row r="776" spans="60:61" x14ac:dyDescent="0.25">
      <c r="BH776" s="4"/>
      <c r="BI776" s="4"/>
    </row>
    <row r="777" spans="60:61" x14ac:dyDescent="0.25">
      <c r="BH777" s="4"/>
      <c r="BI777" s="4"/>
    </row>
    <row r="778" spans="60:61" x14ac:dyDescent="0.25">
      <c r="BH778" s="4"/>
      <c r="BI778" s="4"/>
    </row>
    <row r="779" spans="60:61" x14ac:dyDescent="0.25">
      <c r="BH779" s="4"/>
      <c r="BI779" s="4"/>
    </row>
    <row r="780" spans="60:61" x14ac:dyDescent="0.25">
      <c r="BH780" s="4"/>
      <c r="BI780" s="4"/>
    </row>
    <row r="781" spans="60:61" x14ac:dyDescent="0.25">
      <c r="BH781" s="4"/>
      <c r="BI781" s="4"/>
    </row>
    <row r="782" spans="60:61" x14ac:dyDescent="0.25">
      <c r="BH782" s="4"/>
      <c r="BI782" s="4"/>
    </row>
    <row r="783" spans="60:61" x14ac:dyDescent="0.25">
      <c r="BH783" s="4"/>
      <c r="BI783" s="4"/>
    </row>
    <row r="784" spans="60:61" x14ac:dyDescent="0.25">
      <c r="BH784" s="4"/>
      <c r="BI784" s="4"/>
    </row>
    <row r="785" spans="60:61" x14ac:dyDescent="0.25">
      <c r="BH785" s="4"/>
      <c r="BI785" s="4"/>
    </row>
    <row r="786" spans="60:61" x14ac:dyDescent="0.25">
      <c r="BH786" s="4"/>
      <c r="BI786" s="4"/>
    </row>
    <row r="787" spans="60:61" x14ac:dyDescent="0.25">
      <c r="BH787" s="4"/>
      <c r="BI787" s="4"/>
    </row>
    <row r="788" spans="60:61" x14ac:dyDescent="0.25">
      <c r="BH788" s="4"/>
      <c r="BI788" s="4"/>
    </row>
    <row r="789" spans="60:61" x14ac:dyDescent="0.25">
      <c r="BH789" s="4"/>
      <c r="BI789" s="4"/>
    </row>
    <row r="790" spans="60:61" x14ac:dyDescent="0.25">
      <c r="BH790" s="4"/>
      <c r="BI790" s="4"/>
    </row>
    <row r="791" spans="60:61" x14ac:dyDescent="0.25">
      <c r="BH791" s="4"/>
      <c r="BI791" s="4"/>
    </row>
    <row r="792" spans="60:61" x14ac:dyDescent="0.25">
      <c r="BH792" s="4"/>
      <c r="BI792" s="4"/>
    </row>
    <row r="793" spans="60:61" x14ac:dyDescent="0.25">
      <c r="BH793" s="4"/>
      <c r="BI793" s="4"/>
    </row>
    <row r="794" spans="60:61" x14ac:dyDescent="0.25">
      <c r="BH794" s="4"/>
      <c r="BI794" s="4"/>
    </row>
    <row r="795" spans="60:61" x14ac:dyDescent="0.25">
      <c r="BH795" s="4"/>
      <c r="BI795" s="4"/>
    </row>
    <row r="796" spans="60:61" x14ac:dyDescent="0.25">
      <c r="BH796" s="4"/>
      <c r="BI796" s="4"/>
    </row>
    <row r="797" spans="60:61" x14ac:dyDescent="0.25">
      <c r="BH797" s="4"/>
      <c r="BI797" s="4"/>
    </row>
    <row r="798" spans="60:61" x14ac:dyDescent="0.25">
      <c r="BH798" s="4"/>
      <c r="BI798" s="4"/>
    </row>
    <row r="799" spans="60:61" x14ac:dyDescent="0.25">
      <c r="BH799" s="4"/>
      <c r="BI799" s="4"/>
    </row>
    <row r="800" spans="60:61" x14ac:dyDescent="0.25">
      <c r="BH800" s="4"/>
      <c r="BI800" s="4"/>
    </row>
    <row r="801" spans="60:61" x14ac:dyDescent="0.25">
      <c r="BH801" s="4"/>
      <c r="BI801" s="4"/>
    </row>
    <row r="802" spans="60:61" x14ac:dyDescent="0.25">
      <c r="BH802" s="4"/>
      <c r="BI802" s="4"/>
    </row>
    <row r="803" spans="60:61" x14ac:dyDescent="0.25">
      <c r="BH803" s="4"/>
      <c r="BI803" s="4"/>
    </row>
    <row r="804" spans="60:61" x14ac:dyDescent="0.25">
      <c r="BH804" s="4"/>
      <c r="BI804" s="4"/>
    </row>
    <row r="805" spans="60:61" x14ac:dyDescent="0.25">
      <c r="BH805" s="4"/>
      <c r="BI805" s="4"/>
    </row>
    <row r="806" spans="60:61" x14ac:dyDescent="0.25">
      <c r="BH806" s="4"/>
      <c r="BI806" s="4"/>
    </row>
    <row r="807" spans="60:61" x14ac:dyDescent="0.25">
      <c r="BH807" s="4"/>
      <c r="BI807" s="4"/>
    </row>
    <row r="808" spans="60:61" x14ac:dyDescent="0.25">
      <c r="BH808" s="4"/>
      <c r="BI808" s="4"/>
    </row>
    <row r="809" spans="60:61" x14ac:dyDescent="0.25">
      <c r="BH809" s="4"/>
      <c r="BI809" s="4"/>
    </row>
    <row r="810" spans="60:61" x14ac:dyDescent="0.25">
      <c r="BH810" s="4"/>
      <c r="BI810" s="4"/>
    </row>
    <row r="811" spans="60:61" x14ac:dyDescent="0.25">
      <c r="BH811" s="4"/>
      <c r="BI811" s="4"/>
    </row>
    <row r="812" spans="60:61" x14ac:dyDescent="0.25">
      <c r="BH812" s="4"/>
      <c r="BI812" s="4"/>
    </row>
    <row r="813" spans="60:61" x14ac:dyDescent="0.25">
      <c r="BH813" s="4"/>
      <c r="BI813" s="4"/>
    </row>
    <row r="814" spans="60:61" x14ac:dyDescent="0.25">
      <c r="BH814" s="4"/>
      <c r="BI814" s="4"/>
    </row>
    <row r="815" spans="60:61" x14ac:dyDescent="0.25">
      <c r="BH815" s="4"/>
      <c r="BI815" s="4"/>
    </row>
    <row r="816" spans="60:61" x14ac:dyDescent="0.25">
      <c r="BH816" s="4"/>
      <c r="BI816" s="4"/>
    </row>
    <row r="817" spans="60:61" x14ac:dyDescent="0.25">
      <c r="BH817" s="4"/>
      <c r="BI817" s="4"/>
    </row>
    <row r="818" spans="60:61" x14ac:dyDescent="0.25">
      <c r="BH818" s="4"/>
      <c r="BI818" s="4"/>
    </row>
    <row r="819" spans="60:61" x14ac:dyDescent="0.25">
      <c r="BH819" s="4"/>
      <c r="BI819" s="4"/>
    </row>
    <row r="820" spans="60:61" x14ac:dyDescent="0.25">
      <c r="BH820" s="4"/>
      <c r="BI820" s="4"/>
    </row>
    <row r="821" spans="60:61" x14ac:dyDescent="0.25">
      <c r="BH821" s="4"/>
      <c r="BI821" s="4"/>
    </row>
    <row r="822" spans="60:61" x14ac:dyDescent="0.25">
      <c r="BH822" s="4"/>
      <c r="BI822" s="4"/>
    </row>
    <row r="823" spans="60:61" x14ac:dyDescent="0.25">
      <c r="BH823" s="4"/>
      <c r="BI823" s="4"/>
    </row>
    <row r="824" spans="60:61" x14ac:dyDescent="0.25">
      <c r="BH824" s="4"/>
      <c r="BI824" s="4"/>
    </row>
    <row r="825" spans="60:61" x14ac:dyDescent="0.25">
      <c r="BH825" s="4"/>
      <c r="BI825" s="4"/>
    </row>
    <row r="826" spans="60:61" x14ac:dyDescent="0.25">
      <c r="BH826" s="4"/>
      <c r="BI826" s="4"/>
    </row>
    <row r="827" spans="60:61" x14ac:dyDescent="0.25">
      <c r="BH827" s="4"/>
      <c r="BI827" s="4"/>
    </row>
    <row r="828" spans="60:61" x14ac:dyDescent="0.25">
      <c r="BH828" s="4"/>
      <c r="BI828" s="4"/>
    </row>
    <row r="829" spans="60:61" x14ac:dyDescent="0.25">
      <c r="BH829" s="4"/>
      <c r="BI829" s="4"/>
    </row>
    <row r="830" spans="60:61" x14ac:dyDescent="0.25">
      <c r="BH830" s="4"/>
      <c r="BI830" s="4"/>
    </row>
    <row r="831" spans="60:61" x14ac:dyDescent="0.25">
      <c r="BH831" s="4"/>
      <c r="BI831" s="4"/>
    </row>
    <row r="832" spans="60:61" x14ac:dyDescent="0.25">
      <c r="BH832" s="4"/>
      <c r="BI832" s="4"/>
    </row>
    <row r="833" spans="60:61" x14ac:dyDescent="0.25">
      <c r="BH833" s="4"/>
      <c r="BI833" s="4"/>
    </row>
    <row r="834" spans="60:61" x14ac:dyDescent="0.25">
      <c r="BH834" s="4"/>
      <c r="BI834" s="4"/>
    </row>
    <row r="835" spans="60:61" x14ac:dyDescent="0.25">
      <c r="BH835" s="4"/>
      <c r="BI835" s="4"/>
    </row>
    <row r="836" spans="60:61" x14ac:dyDescent="0.25">
      <c r="BH836" s="4"/>
      <c r="BI836" s="4"/>
    </row>
    <row r="837" spans="60:61" x14ac:dyDescent="0.25">
      <c r="BH837" s="4"/>
      <c r="BI837" s="4"/>
    </row>
    <row r="838" spans="60:61" x14ac:dyDescent="0.25">
      <c r="BH838" s="4"/>
      <c r="BI838" s="4"/>
    </row>
    <row r="839" spans="60:61" x14ac:dyDescent="0.25">
      <c r="BH839" s="4"/>
      <c r="BI839" s="4"/>
    </row>
    <row r="840" spans="60:61" x14ac:dyDescent="0.25">
      <c r="BH840" s="4"/>
      <c r="BI840" s="4"/>
    </row>
    <row r="841" spans="60:61" x14ac:dyDescent="0.25">
      <c r="BH841" s="4"/>
      <c r="BI841" s="4"/>
    </row>
    <row r="842" spans="60:61" x14ac:dyDescent="0.25">
      <c r="BH842" s="4"/>
      <c r="BI842" s="4"/>
    </row>
    <row r="843" spans="60:61" x14ac:dyDescent="0.25">
      <c r="BH843" s="4"/>
      <c r="BI843" s="4"/>
    </row>
    <row r="844" spans="60:61" x14ac:dyDescent="0.25">
      <c r="BH844" s="4"/>
      <c r="BI844" s="4"/>
    </row>
    <row r="845" spans="60:61" x14ac:dyDescent="0.25">
      <c r="BH845" s="4"/>
      <c r="BI845" s="4"/>
    </row>
    <row r="846" spans="60:61" x14ac:dyDescent="0.25">
      <c r="BH846" s="4"/>
      <c r="BI846" s="4"/>
    </row>
    <row r="847" spans="60:61" x14ac:dyDescent="0.25">
      <c r="BH847" s="4"/>
      <c r="BI847" s="4"/>
    </row>
    <row r="848" spans="60:61" x14ac:dyDescent="0.25">
      <c r="BH848" s="4"/>
      <c r="BI848" s="4"/>
    </row>
    <row r="849" spans="60:61" x14ac:dyDescent="0.25">
      <c r="BH849" s="4"/>
      <c r="BI849" s="4"/>
    </row>
    <row r="850" spans="60:61" x14ac:dyDescent="0.25">
      <c r="BH850" s="4"/>
      <c r="BI850" s="4"/>
    </row>
    <row r="851" spans="60:61" x14ac:dyDescent="0.25">
      <c r="BH851" s="4"/>
      <c r="BI851" s="4"/>
    </row>
    <row r="852" spans="60:61" x14ac:dyDescent="0.25">
      <c r="BH852" s="4"/>
      <c r="BI852" s="4"/>
    </row>
    <row r="853" spans="60:61" x14ac:dyDescent="0.25">
      <c r="BH853" s="4"/>
      <c r="BI853" s="4"/>
    </row>
    <row r="854" spans="60:61" x14ac:dyDescent="0.25">
      <c r="BH854" s="4"/>
      <c r="BI854" s="4"/>
    </row>
    <row r="855" spans="60:61" x14ac:dyDescent="0.25">
      <c r="BH855" s="4"/>
      <c r="BI855" s="4"/>
    </row>
    <row r="856" spans="60:61" x14ac:dyDescent="0.25">
      <c r="BH856" s="4"/>
      <c r="BI856" s="4"/>
    </row>
    <row r="857" spans="60:61" x14ac:dyDescent="0.25">
      <c r="BH857" s="4"/>
      <c r="BI857" s="4"/>
    </row>
    <row r="858" spans="60:61" x14ac:dyDescent="0.25">
      <c r="BH858" s="4"/>
      <c r="BI858" s="4"/>
    </row>
    <row r="859" spans="60:61" x14ac:dyDescent="0.25">
      <c r="BH859" s="4"/>
      <c r="BI859" s="4"/>
    </row>
    <row r="860" spans="60:61" x14ac:dyDescent="0.25">
      <c r="BH860" s="4"/>
      <c r="BI860" s="4"/>
    </row>
    <row r="861" spans="60:61" x14ac:dyDescent="0.25">
      <c r="BH861" s="4"/>
      <c r="BI861" s="4"/>
    </row>
    <row r="862" spans="60:61" x14ac:dyDescent="0.25">
      <c r="BH862" s="4"/>
      <c r="BI862" s="4"/>
    </row>
    <row r="863" spans="60:61" x14ac:dyDescent="0.25">
      <c r="BH863" s="4"/>
      <c r="BI863" s="4"/>
    </row>
    <row r="864" spans="60:61" x14ac:dyDescent="0.25">
      <c r="BH864" s="4"/>
      <c r="BI864" s="4"/>
    </row>
    <row r="865" spans="60:61" x14ac:dyDescent="0.25">
      <c r="BH865" s="4"/>
      <c r="BI865" s="4"/>
    </row>
    <row r="866" spans="60:61" x14ac:dyDescent="0.25">
      <c r="BH866" s="4"/>
      <c r="BI866" s="4"/>
    </row>
    <row r="867" spans="60:61" x14ac:dyDescent="0.25">
      <c r="BH867" s="4"/>
      <c r="BI867" s="4"/>
    </row>
    <row r="868" spans="60:61" x14ac:dyDescent="0.25">
      <c r="BH868" s="4"/>
      <c r="BI868" s="4"/>
    </row>
    <row r="869" spans="60:61" x14ac:dyDescent="0.25">
      <c r="BH869" s="4"/>
      <c r="BI869" s="4"/>
    </row>
    <row r="870" spans="60:61" x14ac:dyDescent="0.25">
      <c r="BH870" s="4"/>
      <c r="BI870" s="4"/>
    </row>
    <row r="871" spans="60:61" x14ac:dyDescent="0.25">
      <c r="BH871" s="4"/>
      <c r="BI871" s="4"/>
    </row>
    <row r="872" spans="60:61" x14ac:dyDescent="0.25">
      <c r="BH872" s="4"/>
      <c r="BI872" s="4"/>
    </row>
    <row r="873" spans="60:61" x14ac:dyDescent="0.25">
      <c r="BH873" s="4"/>
      <c r="BI873" s="4"/>
    </row>
    <row r="874" spans="60:61" x14ac:dyDescent="0.25">
      <c r="BH874" s="4"/>
      <c r="BI874" s="4"/>
    </row>
    <row r="875" spans="60:61" x14ac:dyDescent="0.25">
      <c r="BH875" s="4"/>
      <c r="BI875" s="4"/>
    </row>
    <row r="876" spans="60:61" x14ac:dyDescent="0.25">
      <c r="BH876" s="4"/>
      <c r="BI876" s="4"/>
    </row>
    <row r="877" spans="60:61" x14ac:dyDescent="0.25">
      <c r="BH877" s="4"/>
      <c r="BI877" s="4"/>
    </row>
    <row r="878" spans="60:61" x14ac:dyDescent="0.25">
      <c r="BH878" s="4"/>
      <c r="BI878" s="4"/>
    </row>
    <row r="879" spans="60:61" x14ac:dyDescent="0.25">
      <c r="BH879" s="4"/>
      <c r="BI879" s="4"/>
    </row>
    <row r="880" spans="60:61" x14ac:dyDescent="0.25">
      <c r="BH880" s="4"/>
      <c r="BI880" s="4"/>
    </row>
    <row r="881" spans="60:61" x14ac:dyDescent="0.25">
      <c r="BH881" s="4"/>
      <c r="BI881" s="4"/>
    </row>
    <row r="882" spans="60:61" x14ac:dyDescent="0.25">
      <c r="BH882" s="4"/>
      <c r="BI882" s="4"/>
    </row>
    <row r="883" spans="60:61" x14ac:dyDescent="0.25">
      <c r="BH883" s="4"/>
      <c r="BI883" s="4"/>
    </row>
    <row r="884" spans="60:61" x14ac:dyDescent="0.25">
      <c r="BH884" s="4"/>
      <c r="BI884" s="4"/>
    </row>
    <row r="885" spans="60:61" x14ac:dyDescent="0.25">
      <c r="BH885" s="4"/>
      <c r="BI885" s="4"/>
    </row>
    <row r="886" spans="60:61" x14ac:dyDescent="0.25">
      <c r="BH886" s="4"/>
      <c r="BI886" s="4"/>
    </row>
    <row r="887" spans="60:61" x14ac:dyDescent="0.25">
      <c r="BH887" s="4"/>
      <c r="BI887" s="4"/>
    </row>
    <row r="888" spans="60:61" x14ac:dyDescent="0.25">
      <c r="BH888" s="4"/>
      <c r="BI888" s="4"/>
    </row>
    <row r="889" spans="60:61" x14ac:dyDescent="0.25">
      <c r="BH889" s="4"/>
      <c r="BI889" s="4"/>
    </row>
    <row r="890" spans="60:61" x14ac:dyDescent="0.25">
      <c r="BH890" s="4"/>
      <c r="BI890" s="4"/>
    </row>
    <row r="891" spans="60:61" x14ac:dyDescent="0.25">
      <c r="BH891" s="4"/>
      <c r="BI891" s="4"/>
    </row>
    <row r="892" spans="60:61" x14ac:dyDescent="0.25">
      <c r="BH892" s="4"/>
      <c r="BI892" s="4"/>
    </row>
    <row r="893" spans="60:61" x14ac:dyDescent="0.25">
      <c r="BH893" s="4"/>
      <c r="BI893" s="4"/>
    </row>
    <row r="894" spans="60:61" x14ac:dyDescent="0.25">
      <c r="BH894" s="4"/>
      <c r="BI894" s="4"/>
    </row>
    <row r="895" spans="60:61" x14ac:dyDescent="0.25">
      <c r="BH895" s="4"/>
      <c r="BI895" s="4"/>
    </row>
    <row r="896" spans="60:61" x14ac:dyDescent="0.25">
      <c r="BH896" s="4"/>
      <c r="BI896" s="4"/>
    </row>
    <row r="897" spans="60:61" x14ac:dyDescent="0.25">
      <c r="BH897" s="4"/>
      <c r="BI897" s="4"/>
    </row>
    <row r="898" spans="60:61" x14ac:dyDescent="0.25">
      <c r="BH898" s="4"/>
      <c r="BI898" s="4"/>
    </row>
    <row r="899" spans="60:61" x14ac:dyDescent="0.25">
      <c r="BH899" s="4"/>
      <c r="BI899" s="4"/>
    </row>
    <row r="900" spans="60:61" x14ac:dyDescent="0.25">
      <c r="BH900" s="4"/>
      <c r="BI900" s="4"/>
    </row>
    <row r="901" spans="60:61" x14ac:dyDescent="0.25">
      <c r="BH901" s="4"/>
      <c r="BI901" s="4"/>
    </row>
    <row r="902" spans="60:61" x14ac:dyDescent="0.25">
      <c r="BH902" s="4"/>
      <c r="BI902" s="4"/>
    </row>
    <row r="903" spans="60:61" x14ac:dyDescent="0.25">
      <c r="BH903" s="4"/>
      <c r="BI903" s="4"/>
    </row>
    <row r="904" spans="60:61" x14ac:dyDescent="0.25">
      <c r="BH904" s="4"/>
      <c r="BI904" s="4"/>
    </row>
    <row r="905" spans="60:61" x14ac:dyDescent="0.25">
      <c r="BH905" s="4"/>
      <c r="BI905" s="4"/>
    </row>
    <row r="906" spans="60:61" x14ac:dyDescent="0.25">
      <c r="BH906" s="4"/>
      <c r="BI906" s="4"/>
    </row>
    <row r="907" spans="60:61" x14ac:dyDescent="0.25">
      <c r="BH907" s="4"/>
      <c r="BI907" s="4"/>
    </row>
    <row r="908" spans="60:61" x14ac:dyDescent="0.25">
      <c r="BH908" s="4"/>
      <c r="BI908" s="4"/>
    </row>
    <row r="909" spans="60:61" x14ac:dyDescent="0.25">
      <c r="BH909" s="4"/>
      <c r="BI909" s="4"/>
    </row>
    <row r="910" spans="60:61" x14ac:dyDescent="0.25">
      <c r="BH910" s="4"/>
      <c r="BI910" s="4"/>
    </row>
    <row r="911" spans="60:61" x14ac:dyDescent="0.25">
      <c r="BH911" s="4"/>
      <c r="BI911" s="4"/>
    </row>
    <row r="912" spans="60:61" x14ac:dyDescent="0.25">
      <c r="BH912" s="4"/>
      <c r="BI912" s="4"/>
    </row>
    <row r="913" spans="60:61" x14ac:dyDescent="0.25">
      <c r="BH913" s="4"/>
      <c r="BI913" s="4"/>
    </row>
    <row r="914" spans="60:61" x14ac:dyDescent="0.25">
      <c r="BH914" s="4"/>
      <c r="BI914" s="4"/>
    </row>
    <row r="915" spans="60:61" x14ac:dyDescent="0.25">
      <c r="BH915" s="4"/>
      <c r="BI915" s="4"/>
    </row>
    <row r="916" spans="60:61" x14ac:dyDescent="0.25">
      <c r="BH916" s="4"/>
      <c r="BI916" s="4"/>
    </row>
    <row r="917" spans="60:61" x14ac:dyDescent="0.25">
      <c r="BH917" s="4"/>
      <c r="BI917" s="4"/>
    </row>
    <row r="918" spans="60:61" x14ac:dyDescent="0.25">
      <c r="BH918" s="4"/>
      <c r="BI918" s="4"/>
    </row>
    <row r="919" spans="60:61" x14ac:dyDescent="0.25">
      <c r="BH919" s="4"/>
      <c r="BI919" s="4"/>
    </row>
    <row r="920" spans="60:61" x14ac:dyDescent="0.25">
      <c r="BH920" s="4"/>
      <c r="BI920" s="4"/>
    </row>
    <row r="921" spans="60:61" x14ac:dyDescent="0.25">
      <c r="BH921" s="4"/>
      <c r="BI921" s="4"/>
    </row>
    <row r="922" spans="60:61" x14ac:dyDescent="0.25">
      <c r="BH922" s="4"/>
      <c r="BI922" s="4"/>
    </row>
    <row r="923" spans="60:61" x14ac:dyDescent="0.25">
      <c r="BH923" s="4"/>
      <c r="BI923" s="4"/>
    </row>
    <row r="924" spans="60:61" x14ac:dyDescent="0.25">
      <c r="BH924" s="4"/>
      <c r="BI924" s="4"/>
    </row>
    <row r="925" spans="60:61" x14ac:dyDescent="0.25">
      <c r="BH925" s="4"/>
      <c r="BI925" s="4"/>
    </row>
    <row r="926" spans="60:61" x14ac:dyDescent="0.25">
      <c r="BH926" s="4"/>
      <c r="BI926" s="4"/>
    </row>
    <row r="927" spans="60:61" x14ac:dyDescent="0.25">
      <c r="BH927" s="4"/>
      <c r="BI927" s="4"/>
    </row>
    <row r="928" spans="60:61" x14ac:dyDescent="0.25">
      <c r="BH928" s="4"/>
      <c r="BI928" s="4"/>
    </row>
    <row r="929" spans="60:61" x14ac:dyDescent="0.25">
      <c r="BH929" s="4"/>
      <c r="BI929" s="4"/>
    </row>
    <row r="930" spans="60:61" x14ac:dyDescent="0.25">
      <c r="BH930" s="4"/>
      <c r="BI930" s="4"/>
    </row>
    <row r="931" spans="60:61" x14ac:dyDescent="0.25">
      <c r="BH931" s="4"/>
      <c r="BI931" s="4"/>
    </row>
    <row r="932" spans="60:61" x14ac:dyDescent="0.25">
      <c r="BH932" s="4"/>
      <c r="BI932" s="4"/>
    </row>
    <row r="933" spans="60:61" x14ac:dyDescent="0.25">
      <c r="BH933" s="4"/>
      <c r="BI933" s="4"/>
    </row>
    <row r="934" spans="60:61" x14ac:dyDescent="0.25">
      <c r="BH934" s="4"/>
      <c r="BI934" s="4"/>
    </row>
    <row r="935" spans="60:61" x14ac:dyDescent="0.25">
      <c r="BH935" s="4"/>
      <c r="BI935" s="4"/>
    </row>
    <row r="936" spans="60:61" x14ac:dyDescent="0.25">
      <c r="BH936" s="4"/>
      <c r="BI936" s="4"/>
    </row>
    <row r="937" spans="60:61" x14ac:dyDescent="0.25">
      <c r="BH937" s="4"/>
      <c r="BI937" s="4"/>
    </row>
    <row r="938" spans="60:61" x14ac:dyDescent="0.25">
      <c r="BH938" s="4"/>
      <c r="BI938" s="4"/>
    </row>
    <row r="939" spans="60:61" x14ac:dyDescent="0.25">
      <c r="BH939" s="4"/>
      <c r="BI939" s="4"/>
    </row>
    <row r="940" spans="60:61" x14ac:dyDescent="0.25">
      <c r="BH940" s="4"/>
      <c r="BI940" s="4"/>
    </row>
    <row r="941" spans="60:61" x14ac:dyDescent="0.25">
      <c r="BH941" s="4"/>
      <c r="BI941" s="4"/>
    </row>
    <row r="942" spans="60:61" x14ac:dyDescent="0.25">
      <c r="BH942" s="4"/>
      <c r="BI942" s="4"/>
    </row>
    <row r="943" spans="60:61" x14ac:dyDescent="0.25">
      <c r="BH943" s="4"/>
      <c r="BI943" s="4"/>
    </row>
    <row r="944" spans="60:61" x14ac:dyDescent="0.25">
      <c r="BH944" s="4"/>
      <c r="BI944" s="4"/>
    </row>
    <row r="945" spans="60:61" x14ac:dyDescent="0.25">
      <c r="BH945" s="4"/>
      <c r="BI945" s="4"/>
    </row>
    <row r="946" spans="60:61" x14ac:dyDescent="0.25">
      <c r="BH946" s="4"/>
      <c r="BI946" s="4"/>
    </row>
    <row r="947" spans="60:61" x14ac:dyDescent="0.25">
      <c r="BH947" s="4"/>
      <c r="BI947" s="4"/>
    </row>
    <row r="948" spans="60:61" x14ac:dyDescent="0.25">
      <c r="BH948" s="4"/>
      <c r="BI948" s="4"/>
    </row>
    <row r="949" spans="60:61" x14ac:dyDescent="0.25">
      <c r="BH949" s="4"/>
      <c r="BI949" s="4"/>
    </row>
    <row r="950" spans="60:61" x14ac:dyDescent="0.25">
      <c r="BH950" s="4"/>
      <c r="BI950" s="4"/>
    </row>
    <row r="951" spans="60:61" x14ac:dyDescent="0.25">
      <c r="BH951" s="4"/>
      <c r="BI951" s="4"/>
    </row>
    <row r="952" spans="60:61" x14ac:dyDescent="0.25">
      <c r="BH952" s="4"/>
      <c r="BI952" s="4"/>
    </row>
    <row r="953" spans="60:61" x14ac:dyDescent="0.25">
      <c r="BH953" s="4"/>
      <c r="BI953" s="4"/>
    </row>
    <row r="954" spans="60:61" x14ac:dyDescent="0.25">
      <c r="BH954" s="4"/>
      <c r="BI954" s="4"/>
    </row>
    <row r="955" spans="60:61" x14ac:dyDescent="0.25">
      <c r="BH955" s="4"/>
      <c r="BI955" s="4"/>
    </row>
    <row r="956" spans="60:61" x14ac:dyDescent="0.25">
      <c r="BH956" s="4"/>
      <c r="BI956" s="4"/>
    </row>
    <row r="957" spans="60:61" x14ac:dyDescent="0.25">
      <c r="BH957" s="4"/>
      <c r="BI957" s="4"/>
    </row>
    <row r="958" spans="60:61" x14ac:dyDescent="0.25">
      <c r="BH958" s="4"/>
      <c r="BI958" s="4"/>
    </row>
    <row r="959" spans="60:61" x14ac:dyDescent="0.25">
      <c r="BH959" s="4"/>
      <c r="BI959" s="4"/>
    </row>
    <row r="960" spans="60:61" x14ac:dyDescent="0.25">
      <c r="BH960" s="4"/>
      <c r="BI960" s="4"/>
    </row>
    <row r="961" spans="60:61" x14ac:dyDescent="0.25">
      <c r="BH961" s="4"/>
      <c r="BI961" s="4"/>
    </row>
    <row r="962" spans="60:61" x14ac:dyDescent="0.25">
      <c r="BH962" s="4"/>
      <c r="BI962" s="4"/>
    </row>
    <row r="963" spans="60:61" x14ac:dyDescent="0.25">
      <c r="BH963" s="4"/>
      <c r="BI963" s="4"/>
    </row>
    <row r="964" spans="60:61" x14ac:dyDescent="0.25">
      <c r="BH964" s="4"/>
      <c r="BI964" s="4"/>
    </row>
    <row r="965" spans="60:61" x14ac:dyDescent="0.25">
      <c r="BH965" s="4"/>
      <c r="BI965" s="4"/>
    </row>
    <row r="966" spans="60:61" x14ac:dyDescent="0.25">
      <c r="BH966" s="4"/>
      <c r="BI966" s="4"/>
    </row>
    <row r="967" spans="60:61" x14ac:dyDescent="0.25">
      <c r="BH967" s="4"/>
      <c r="BI967" s="4"/>
    </row>
    <row r="968" spans="60:61" x14ac:dyDescent="0.25">
      <c r="BH968" s="4"/>
      <c r="BI968" s="4"/>
    </row>
    <row r="969" spans="60:61" x14ac:dyDescent="0.25">
      <c r="BH969" s="4"/>
      <c r="BI969" s="4"/>
    </row>
    <row r="970" spans="60:61" x14ac:dyDescent="0.25">
      <c r="BH970" s="4"/>
      <c r="BI970" s="4"/>
    </row>
    <row r="971" spans="60:61" x14ac:dyDescent="0.25">
      <c r="BH971" s="4"/>
      <c r="BI971" s="4"/>
    </row>
    <row r="972" spans="60:61" x14ac:dyDescent="0.25">
      <c r="BH972" s="4"/>
      <c r="BI972" s="4"/>
    </row>
    <row r="973" spans="60:61" x14ac:dyDescent="0.25">
      <c r="BH973" s="4"/>
      <c r="BI973" s="4"/>
    </row>
  </sheetData>
  <sortState xmlns:xlrd2="http://schemas.microsoft.com/office/spreadsheetml/2017/richdata2" ref="BK3:BL252">
    <sortCondition ref="BL3"/>
  </sortState>
  <mergeCells count="4">
    <mergeCell ref="BE1:BF1"/>
    <mergeCell ref="BH1:BJ1"/>
    <mergeCell ref="BN1:BS1"/>
    <mergeCell ref="BT1:BY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letkaPMX">
                <anchor moveWithCells="1" sizeWithCells="1">
                  <from>
                    <xdr:col>45</xdr:col>
                    <xdr:colOff>123825</xdr:colOff>
                    <xdr:row>2</xdr:row>
                    <xdr:rowOff>95250</xdr:rowOff>
                  </from>
                  <to>
                    <xdr:col>48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urniejOpLosZUz">
                <anchor moveWithCells="1" sizeWithCells="1">
                  <from>
                    <xdr:col>45</xdr:col>
                    <xdr:colOff>114300</xdr:colOff>
                    <xdr:row>8</xdr:row>
                    <xdr:rowOff>47625</xdr:rowOff>
                  </from>
                  <to>
                    <xdr:col>48</xdr:col>
                    <xdr:colOff>28575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Dell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</dc:creator>
  <cp:lastModifiedBy>Darek</cp:lastModifiedBy>
  <dcterms:created xsi:type="dcterms:W3CDTF">2019-12-22T21:23:44Z</dcterms:created>
  <dcterms:modified xsi:type="dcterms:W3CDTF">2020-01-18T21:35:34Z</dcterms:modified>
</cp:coreProperties>
</file>