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en_skoroszyt"/>
  <bookViews>
    <workbookView xWindow="0" yWindow="0" windowWidth="19200" windowHeight="6690"/>
  </bookViews>
  <sheets>
    <sheet name="Arkusz1" sheetId="1" r:id="rId1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504" i="1" l="1"/>
  <c r="AL2" i="1"/>
  <c r="AJ7" i="1" l="1"/>
  <c r="AJ11" i="1"/>
  <c r="AJ15" i="1"/>
  <c r="AJ19" i="1"/>
  <c r="AJ23" i="1"/>
  <c r="AJ27" i="1"/>
  <c r="AJ31" i="1"/>
  <c r="AJ35" i="1"/>
  <c r="AJ39" i="1"/>
  <c r="AJ43" i="1"/>
  <c r="AJ47" i="1"/>
  <c r="AJ51" i="1"/>
  <c r="AJ55" i="1"/>
  <c r="AJ59" i="1"/>
  <c r="AJ63" i="1"/>
  <c r="AJ67" i="1"/>
  <c r="AJ71" i="1"/>
  <c r="AJ75" i="1"/>
  <c r="AJ79" i="1"/>
  <c r="AJ83" i="1"/>
  <c r="AJ87" i="1"/>
  <c r="AJ91" i="1"/>
  <c r="AJ95" i="1"/>
  <c r="AJ99" i="1"/>
  <c r="AJ103" i="1"/>
  <c r="AJ107" i="1"/>
  <c r="AJ111" i="1"/>
  <c r="AJ115" i="1"/>
  <c r="AJ119" i="1"/>
  <c r="AJ123" i="1"/>
  <c r="AJ127" i="1"/>
  <c r="AJ131" i="1"/>
  <c r="AJ135" i="1"/>
  <c r="AJ139" i="1"/>
  <c r="AJ143" i="1"/>
  <c r="AJ147" i="1"/>
  <c r="AJ151" i="1"/>
  <c r="AJ155" i="1"/>
  <c r="AJ159" i="1"/>
  <c r="AJ163" i="1"/>
  <c r="AJ167" i="1"/>
  <c r="AJ171" i="1"/>
  <c r="AJ175" i="1"/>
  <c r="AJ179" i="1"/>
  <c r="AJ183" i="1"/>
  <c r="AJ187" i="1"/>
  <c r="AJ191" i="1"/>
  <c r="AJ195" i="1"/>
  <c r="AJ199" i="1"/>
  <c r="AJ203" i="1"/>
  <c r="AJ207" i="1"/>
  <c r="AJ211" i="1"/>
  <c r="AJ215" i="1"/>
  <c r="AJ219" i="1"/>
  <c r="AJ223" i="1"/>
  <c r="AJ227" i="1"/>
  <c r="AJ4" i="1"/>
  <c r="AJ8" i="1"/>
  <c r="AJ12" i="1"/>
  <c r="AJ16" i="1"/>
  <c r="AJ20" i="1"/>
  <c r="AJ24" i="1"/>
  <c r="AJ28" i="1"/>
  <c r="AJ32" i="1"/>
  <c r="AJ36" i="1"/>
  <c r="AJ40" i="1"/>
  <c r="AJ44" i="1"/>
  <c r="AJ48" i="1"/>
  <c r="AJ52" i="1"/>
  <c r="AJ56" i="1"/>
  <c r="AJ60" i="1"/>
  <c r="AJ64" i="1"/>
  <c r="AJ68" i="1"/>
  <c r="AJ72" i="1"/>
  <c r="AJ76" i="1"/>
  <c r="AJ80" i="1"/>
  <c r="AJ84" i="1"/>
  <c r="AJ88" i="1"/>
  <c r="AJ92" i="1"/>
  <c r="AJ96" i="1"/>
  <c r="AJ100" i="1"/>
  <c r="AJ104" i="1"/>
  <c r="AJ5" i="1"/>
  <c r="AJ9" i="1"/>
  <c r="AJ13" i="1"/>
  <c r="AJ17" i="1"/>
  <c r="AJ21" i="1"/>
  <c r="AJ25" i="1"/>
  <c r="AJ29" i="1"/>
  <c r="AJ33" i="1"/>
  <c r="AJ37" i="1"/>
  <c r="AJ41" i="1"/>
  <c r="AJ45" i="1"/>
  <c r="AJ49" i="1"/>
  <c r="AJ53" i="1"/>
  <c r="AJ57" i="1"/>
  <c r="AJ61" i="1"/>
  <c r="AJ65" i="1"/>
  <c r="AJ69" i="1"/>
  <c r="AJ73" i="1"/>
  <c r="AJ77" i="1"/>
  <c r="AJ81" i="1"/>
  <c r="AJ85" i="1"/>
  <c r="AJ6" i="1"/>
  <c r="AJ10" i="1"/>
  <c r="AJ14" i="1"/>
  <c r="AJ18" i="1"/>
  <c r="AJ22" i="1"/>
  <c r="AJ26" i="1"/>
  <c r="AJ30" i="1"/>
  <c r="AJ34" i="1"/>
  <c r="AJ38" i="1"/>
  <c r="AJ42" i="1"/>
  <c r="AJ46" i="1"/>
  <c r="AJ50" i="1"/>
  <c r="AJ54" i="1"/>
  <c r="AJ58" i="1"/>
  <c r="AJ62" i="1"/>
  <c r="AJ66" i="1"/>
  <c r="AJ70" i="1"/>
  <c r="AJ74" i="1"/>
  <c r="AJ78" i="1"/>
  <c r="AJ82" i="1"/>
  <c r="AJ86" i="1"/>
  <c r="AJ90" i="1"/>
  <c r="AJ94" i="1"/>
  <c r="AJ98" i="1"/>
  <c r="AJ102" i="1"/>
  <c r="AJ106" i="1"/>
  <c r="AJ500" i="1"/>
  <c r="AJ496" i="1"/>
  <c r="AJ492" i="1"/>
  <c r="AJ488" i="1"/>
  <c r="AJ484" i="1"/>
  <c r="AJ480" i="1"/>
  <c r="AJ476" i="1"/>
  <c r="AJ472" i="1"/>
  <c r="AJ468" i="1"/>
  <c r="AJ464" i="1"/>
  <c r="AJ460" i="1"/>
  <c r="AJ456" i="1"/>
  <c r="AJ452" i="1"/>
  <c r="AJ448" i="1"/>
  <c r="AJ444" i="1"/>
  <c r="AJ440" i="1"/>
  <c r="AJ436" i="1"/>
  <c r="AJ432" i="1"/>
  <c r="AJ428" i="1"/>
  <c r="AJ424" i="1"/>
  <c r="AJ420" i="1"/>
  <c r="AJ416" i="1"/>
  <c r="AJ412" i="1"/>
  <c r="AJ408" i="1"/>
  <c r="AJ404" i="1"/>
  <c r="AJ400" i="1"/>
  <c r="AJ396" i="1"/>
  <c r="AJ392" i="1"/>
  <c r="AJ388" i="1"/>
  <c r="AJ384" i="1"/>
  <c r="AJ380" i="1"/>
  <c r="AJ376" i="1"/>
  <c r="AJ372" i="1"/>
  <c r="AJ368" i="1"/>
  <c r="AJ364" i="1"/>
  <c r="AJ360" i="1"/>
  <c r="AJ356" i="1"/>
  <c r="AJ352" i="1"/>
  <c r="AJ348" i="1"/>
  <c r="AJ344" i="1"/>
  <c r="AJ340" i="1"/>
  <c r="AJ336" i="1"/>
  <c r="AJ332" i="1"/>
  <c r="AJ328" i="1"/>
  <c r="AJ324" i="1"/>
  <c r="AJ320" i="1"/>
  <c r="AJ316" i="1"/>
  <c r="AJ312" i="1"/>
  <c r="AJ308" i="1"/>
  <c r="AJ304" i="1"/>
  <c r="AJ300" i="1"/>
  <c r="AJ296" i="1"/>
  <c r="AJ292" i="1"/>
  <c r="AJ288" i="1"/>
  <c r="AJ284" i="1"/>
  <c r="AJ280" i="1"/>
  <c r="AJ276" i="1"/>
  <c r="AJ272" i="1"/>
  <c r="AJ268" i="1"/>
  <c r="AJ264" i="1"/>
  <c r="AJ260" i="1"/>
  <c r="AJ256" i="1"/>
  <c r="AJ252" i="1"/>
  <c r="AJ248" i="1"/>
  <c r="AJ244" i="1"/>
  <c r="AJ240" i="1"/>
  <c r="AJ236" i="1"/>
  <c r="AJ232" i="1"/>
  <c r="AJ228" i="1"/>
  <c r="AJ222" i="1"/>
  <c r="AJ217" i="1"/>
  <c r="AJ212" i="1"/>
  <c r="AJ206" i="1"/>
  <c r="AJ201" i="1"/>
  <c r="AJ196" i="1"/>
  <c r="AJ190" i="1"/>
  <c r="AJ185" i="1"/>
  <c r="AJ180" i="1"/>
  <c r="AJ174" i="1"/>
  <c r="AJ169" i="1"/>
  <c r="AJ164" i="1"/>
  <c r="AJ158" i="1"/>
  <c r="AJ153" i="1"/>
  <c r="AJ148" i="1"/>
  <c r="AJ142" i="1"/>
  <c r="AJ137" i="1"/>
  <c r="AJ132" i="1"/>
  <c r="AJ126" i="1"/>
  <c r="AJ121" i="1"/>
  <c r="AJ116" i="1"/>
  <c r="AJ110" i="1"/>
  <c r="AJ101" i="1"/>
  <c r="AJ491" i="1"/>
  <c r="AJ475" i="1"/>
  <c r="AJ463" i="1"/>
  <c r="AJ451" i="1"/>
  <c r="AJ435" i="1"/>
  <c r="AJ419" i="1"/>
  <c r="AJ415" i="1"/>
  <c r="AJ403" i="1"/>
  <c r="AJ399" i="1"/>
  <c r="AJ395" i="1"/>
  <c r="AJ391" i="1"/>
  <c r="AJ387" i="1"/>
  <c r="AJ383" i="1"/>
  <c r="AJ379" i="1"/>
  <c r="AJ375" i="1"/>
  <c r="AJ371" i="1"/>
  <c r="AJ367" i="1"/>
  <c r="AJ363" i="1"/>
  <c r="AJ359" i="1"/>
  <c r="AJ355" i="1"/>
  <c r="AJ351" i="1"/>
  <c r="AJ347" i="1"/>
  <c r="AJ343" i="1"/>
  <c r="AJ339" i="1"/>
  <c r="AJ335" i="1"/>
  <c r="AJ331" i="1"/>
  <c r="AJ327" i="1"/>
  <c r="AJ323" i="1"/>
  <c r="AJ319" i="1"/>
  <c r="AJ315" i="1"/>
  <c r="AJ311" i="1"/>
  <c r="AJ307" i="1"/>
  <c r="AJ303" i="1"/>
  <c r="AJ299" i="1"/>
  <c r="AJ295" i="1"/>
  <c r="AJ291" i="1"/>
  <c r="AJ287" i="1"/>
  <c r="AJ283" i="1"/>
  <c r="AJ279" i="1"/>
  <c r="AJ275" i="1"/>
  <c r="AJ271" i="1"/>
  <c r="AJ267" i="1"/>
  <c r="AJ263" i="1"/>
  <c r="AJ259" i="1"/>
  <c r="AJ255" i="1"/>
  <c r="AJ251" i="1"/>
  <c r="AJ247" i="1"/>
  <c r="AJ243" i="1"/>
  <c r="AJ239" i="1"/>
  <c r="AJ235" i="1"/>
  <c r="AJ231" i="1"/>
  <c r="AJ226" i="1"/>
  <c r="AJ221" i="1"/>
  <c r="AJ216" i="1"/>
  <c r="AJ210" i="1"/>
  <c r="AJ205" i="1"/>
  <c r="AJ200" i="1"/>
  <c r="AJ194" i="1"/>
  <c r="AJ189" i="1"/>
  <c r="AJ184" i="1"/>
  <c r="AJ178" i="1"/>
  <c r="AJ173" i="1"/>
  <c r="AJ168" i="1"/>
  <c r="AJ162" i="1"/>
  <c r="AJ157" i="1"/>
  <c r="AJ152" i="1"/>
  <c r="AJ146" i="1"/>
  <c r="AJ141" i="1"/>
  <c r="AJ136" i="1"/>
  <c r="AJ130" i="1"/>
  <c r="AJ125" i="1"/>
  <c r="AJ120" i="1"/>
  <c r="AJ114" i="1"/>
  <c r="AJ109" i="1"/>
  <c r="AJ97" i="1"/>
  <c r="AJ495" i="1"/>
  <c r="AJ483" i="1"/>
  <c r="AJ471" i="1"/>
  <c r="AJ455" i="1"/>
  <c r="AJ443" i="1"/>
  <c r="AJ427" i="1"/>
  <c r="AJ407" i="1"/>
  <c r="AJ494" i="1"/>
  <c r="AJ482" i="1"/>
  <c r="AJ470" i="1"/>
  <c r="AJ462" i="1"/>
  <c r="AJ450" i="1"/>
  <c r="AJ438" i="1"/>
  <c r="AJ430" i="1"/>
  <c r="AJ418" i="1"/>
  <c r="AJ410" i="1"/>
  <c r="AJ398" i="1"/>
  <c r="AJ390" i="1"/>
  <c r="AJ378" i="1"/>
  <c r="AJ370" i="1"/>
  <c r="AJ366" i="1"/>
  <c r="AJ358" i="1"/>
  <c r="AJ354" i="1"/>
  <c r="AJ350" i="1"/>
  <c r="AJ346" i="1"/>
  <c r="AJ342" i="1"/>
  <c r="AJ338" i="1"/>
  <c r="AJ334" i="1"/>
  <c r="AJ330" i="1"/>
  <c r="AJ326" i="1"/>
  <c r="AJ322" i="1"/>
  <c r="AJ318" i="1"/>
  <c r="AJ314" i="1"/>
  <c r="AJ310" i="1"/>
  <c r="AJ306" i="1"/>
  <c r="AJ302" i="1"/>
  <c r="AJ298" i="1"/>
  <c r="AJ294" i="1"/>
  <c r="AJ290" i="1"/>
  <c r="AJ286" i="1"/>
  <c r="AJ282" i="1"/>
  <c r="AJ278" i="1"/>
  <c r="AJ274" i="1"/>
  <c r="AJ270" i="1"/>
  <c r="AJ266" i="1"/>
  <c r="AJ262" i="1"/>
  <c r="AJ258" i="1"/>
  <c r="AJ254" i="1"/>
  <c r="AJ250" i="1"/>
  <c r="AJ246" i="1"/>
  <c r="AJ242" i="1"/>
  <c r="AJ238" i="1"/>
  <c r="AJ234" i="1"/>
  <c r="AJ230" i="1"/>
  <c r="AJ225" i="1"/>
  <c r="AJ220" i="1"/>
  <c r="AJ214" i="1"/>
  <c r="AJ209" i="1"/>
  <c r="AJ204" i="1"/>
  <c r="AJ198" i="1"/>
  <c r="AJ193" i="1"/>
  <c r="AJ188" i="1"/>
  <c r="AJ182" i="1"/>
  <c r="AJ177" i="1"/>
  <c r="AJ172" i="1"/>
  <c r="AJ166" i="1"/>
  <c r="AJ161" i="1"/>
  <c r="AJ156" i="1"/>
  <c r="AJ150" i="1"/>
  <c r="AJ145" i="1"/>
  <c r="AJ140" i="1"/>
  <c r="AJ134" i="1"/>
  <c r="AJ129" i="1"/>
  <c r="AJ124" i="1"/>
  <c r="AJ118" i="1"/>
  <c r="AJ113" i="1"/>
  <c r="AJ108" i="1"/>
  <c r="AJ93" i="1"/>
  <c r="AJ3" i="1"/>
  <c r="AJ499" i="1"/>
  <c r="AJ487" i="1"/>
  <c r="AJ479" i="1"/>
  <c r="AJ467" i="1"/>
  <c r="AJ459" i="1"/>
  <c r="AJ447" i="1"/>
  <c r="AJ439" i="1"/>
  <c r="AJ431" i="1"/>
  <c r="AJ423" i="1"/>
  <c r="AJ411" i="1"/>
  <c r="AJ502" i="1"/>
  <c r="AJ498" i="1"/>
  <c r="AJ490" i="1"/>
  <c r="AJ486" i="1"/>
  <c r="AJ478" i="1"/>
  <c r="AJ474" i="1"/>
  <c r="AJ466" i="1"/>
  <c r="AJ458" i="1"/>
  <c r="AJ454" i="1"/>
  <c r="AJ446" i="1"/>
  <c r="AJ442" i="1"/>
  <c r="AJ434" i="1"/>
  <c r="AJ426" i="1"/>
  <c r="AJ422" i="1"/>
  <c r="AJ414" i="1"/>
  <c r="AJ406" i="1"/>
  <c r="AJ402" i="1"/>
  <c r="AJ394" i="1"/>
  <c r="AJ386" i="1"/>
  <c r="AJ382" i="1"/>
  <c r="AJ374" i="1"/>
  <c r="AJ362" i="1"/>
  <c r="AJ501" i="1"/>
  <c r="AJ497" i="1"/>
  <c r="AJ493" i="1"/>
  <c r="AJ489" i="1"/>
  <c r="AJ485" i="1"/>
  <c r="AJ481" i="1"/>
  <c r="AJ477" i="1"/>
  <c r="AJ473" i="1"/>
  <c r="AJ469" i="1"/>
  <c r="AJ465" i="1"/>
  <c r="AJ461" i="1"/>
  <c r="AJ457" i="1"/>
  <c r="AJ453" i="1"/>
  <c r="AJ449" i="1"/>
  <c r="AJ445" i="1"/>
  <c r="AJ441" i="1"/>
  <c r="AJ437" i="1"/>
  <c r="AJ433" i="1"/>
  <c r="AJ429" i="1"/>
  <c r="AJ425" i="1"/>
  <c r="AJ421" i="1"/>
  <c r="AJ417" i="1"/>
  <c r="AJ413" i="1"/>
  <c r="AJ409" i="1"/>
  <c r="AJ405" i="1"/>
  <c r="AJ401" i="1"/>
  <c r="AJ397" i="1"/>
  <c r="AJ393" i="1"/>
  <c r="AJ389" i="1"/>
  <c r="AJ385" i="1"/>
  <c r="AJ381" i="1"/>
  <c r="AJ377" i="1"/>
  <c r="AJ373" i="1"/>
  <c r="AJ369" i="1"/>
  <c r="AJ365" i="1"/>
  <c r="AJ361" i="1"/>
  <c r="AJ357" i="1"/>
  <c r="AJ353" i="1"/>
  <c r="AJ349" i="1"/>
  <c r="AJ345" i="1"/>
  <c r="AJ341" i="1"/>
  <c r="AJ337" i="1"/>
  <c r="AJ333" i="1"/>
  <c r="AJ329" i="1"/>
  <c r="AJ325" i="1"/>
  <c r="AJ321" i="1"/>
  <c r="AJ317" i="1"/>
  <c r="AJ313" i="1"/>
  <c r="AJ309" i="1"/>
  <c r="AJ305" i="1"/>
  <c r="AJ301" i="1"/>
  <c r="AJ297" i="1"/>
  <c r="AJ293" i="1"/>
  <c r="AJ289" i="1"/>
  <c r="AJ285" i="1"/>
  <c r="AJ281" i="1"/>
  <c r="AJ277" i="1"/>
  <c r="AJ273" i="1"/>
  <c r="AJ269" i="1"/>
  <c r="AJ265" i="1"/>
  <c r="AJ261" i="1"/>
  <c r="AJ257" i="1"/>
  <c r="AJ253" i="1"/>
  <c r="AJ249" i="1"/>
  <c r="AJ245" i="1"/>
  <c r="AJ241" i="1"/>
  <c r="AJ237" i="1"/>
  <c r="AJ233" i="1"/>
  <c r="AJ229" i="1"/>
  <c r="AJ224" i="1"/>
  <c r="AJ218" i="1"/>
  <c r="AJ213" i="1"/>
  <c r="AJ208" i="1"/>
  <c r="AJ202" i="1"/>
  <c r="AJ197" i="1"/>
  <c r="AJ192" i="1"/>
  <c r="AJ186" i="1"/>
  <c r="AJ181" i="1"/>
  <c r="AJ176" i="1"/>
  <c r="AJ170" i="1"/>
  <c r="AJ165" i="1"/>
  <c r="AJ160" i="1"/>
  <c r="AJ154" i="1"/>
  <c r="AJ149" i="1"/>
  <c r="AJ144" i="1"/>
  <c r="AJ138" i="1"/>
  <c r="AJ133" i="1"/>
  <c r="AJ128" i="1"/>
  <c r="AJ122" i="1"/>
  <c r="AJ117" i="1"/>
  <c r="AJ112" i="1"/>
  <c r="AJ105" i="1"/>
  <c r="AJ89" i="1"/>
  <c r="AJ504" i="1" l="1"/>
  <c r="AK89" i="1" s="1"/>
  <c r="AK183" i="1" l="1"/>
  <c r="AK45" i="1"/>
  <c r="AK456" i="1"/>
  <c r="AK190" i="1"/>
  <c r="AK307" i="1"/>
  <c r="AK162" i="1"/>
  <c r="AK298" i="1"/>
  <c r="AK447" i="1"/>
  <c r="AK203" i="1"/>
  <c r="AK65" i="1"/>
  <c r="AK436" i="1"/>
  <c r="AK308" i="1"/>
  <c r="AK435" i="1"/>
  <c r="AK221" i="1"/>
  <c r="AK470" i="1"/>
  <c r="AK278" i="1"/>
  <c r="AK63" i="1"/>
  <c r="AK191" i="1"/>
  <c r="AK92" i="1"/>
  <c r="AK34" i="1"/>
  <c r="AK98" i="1"/>
  <c r="AK368" i="1"/>
  <c r="AK7" i="1"/>
  <c r="AK71" i="1"/>
  <c r="AK135" i="1"/>
  <c r="AK199" i="1"/>
  <c r="AK36" i="1"/>
  <c r="AK100" i="1"/>
  <c r="AK61" i="1"/>
  <c r="AK42" i="1"/>
  <c r="AK106" i="1"/>
  <c r="AK440" i="1"/>
  <c r="AK376" i="1"/>
  <c r="AK312" i="1"/>
  <c r="AK248" i="1"/>
  <c r="AK169" i="1"/>
  <c r="AK451" i="1"/>
  <c r="AK355" i="1"/>
  <c r="AK291" i="1"/>
  <c r="AK226" i="1"/>
  <c r="AK141" i="1"/>
  <c r="AK482" i="1"/>
  <c r="AK346" i="1"/>
  <c r="AK282" i="1"/>
  <c r="AK214" i="1"/>
  <c r="AK129" i="1"/>
  <c r="AK411" i="1"/>
  <c r="AK27" i="1"/>
  <c r="AK91" i="1"/>
  <c r="AK155" i="1"/>
  <c r="AK219" i="1"/>
  <c r="AK56" i="1"/>
  <c r="AK17" i="1"/>
  <c r="AK81" i="1"/>
  <c r="AK62" i="1"/>
  <c r="AK484" i="1"/>
  <c r="AK420" i="1"/>
  <c r="AK356" i="1"/>
  <c r="AK292" i="1"/>
  <c r="AK228" i="1"/>
  <c r="AK142" i="1"/>
  <c r="AK399" i="1"/>
  <c r="AK335" i="1"/>
  <c r="AK271" i="1"/>
  <c r="AK200" i="1"/>
  <c r="AK114" i="1"/>
  <c r="AK430" i="1"/>
  <c r="AK326" i="1"/>
  <c r="AK15" i="1"/>
  <c r="AK79" i="1"/>
  <c r="AK143" i="1"/>
  <c r="AK207" i="1"/>
  <c r="AK44" i="1"/>
  <c r="AK5" i="1"/>
  <c r="AK69" i="1"/>
  <c r="AK50" i="1"/>
  <c r="AK496" i="1"/>
  <c r="AK304" i="1"/>
  <c r="AK119" i="1"/>
  <c r="AK84" i="1"/>
  <c r="AK90" i="1"/>
  <c r="AK328" i="1"/>
  <c r="AK101" i="1"/>
  <c r="AK243" i="1"/>
  <c r="AK366" i="1"/>
  <c r="AK150" i="1"/>
  <c r="AK75" i="1"/>
  <c r="AK40" i="1"/>
  <c r="AK46" i="1"/>
  <c r="AK372" i="1"/>
  <c r="AK164" i="1"/>
  <c r="AK28" i="1"/>
  <c r="AK87" i="1"/>
  <c r="AK52" i="1"/>
  <c r="AK77" i="1"/>
  <c r="AK488" i="1"/>
  <c r="AK360" i="1"/>
  <c r="AK296" i="1"/>
  <c r="AK232" i="1"/>
  <c r="AK148" i="1"/>
  <c r="AK403" i="1"/>
  <c r="AK339" i="1"/>
  <c r="AK275" i="1"/>
  <c r="AK205" i="1"/>
  <c r="AK120" i="1"/>
  <c r="AK438" i="1"/>
  <c r="AK330" i="1"/>
  <c r="AK266" i="1"/>
  <c r="AK193" i="1"/>
  <c r="AK108" i="1"/>
  <c r="AK486" i="1"/>
  <c r="AK43" i="1"/>
  <c r="AK107" i="1"/>
  <c r="AK171" i="1"/>
  <c r="AK8" i="1"/>
  <c r="AK72" i="1"/>
  <c r="AK33" i="1"/>
  <c r="AK14" i="1"/>
  <c r="AK78" i="1"/>
  <c r="AK468" i="1"/>
  <c r="AK404" i="1"/>
  <c r="AK340" i="1"/>
  <c r="AK276" i="1"/>
  <c r="AK206" i="1"/>
  <c r="AK121" i="1"/>
  <c r="AK383" i="1"/>
  <c r="AK319" i="1"/>
  <c r="AK255" i="1"/>
  <c r="AK178" i="1"/>
  <c r="AK483" i="1"/>
  <c r="AK390" i="1"/>
  <c r="AK310" i="1"/>
  <c r="AK31" i="1"/>
  <c r="AK95" i="1"/>
  <c r="AK159" i="1"/>
  <c r="AK223" i="1"/>
  <c r="AK60" i="1"/>
  <c r="AK21" i="1"/>
  <c r="AK85" i="1"/>
  <c r="AK66" i="1"/>
  <c r="AK464" i="1"/>
  <c r="AK240" i="1"/>
  <c r="AK55" i="1"/>
  <c r="AK20" i="1"/>
  <c r="AK26" i="1"/>
  <c r="AK392" i="1"/>
  <c r="AK264" i="1"/>
  <c r="AK371" i="1"/>
  <c r="AK443" i="1"/>
  <c r="AK234" i="1"/>
  <c r="AK11" i="1"/>
  <c r="AK139" i="1"/>
  <c r="AK104" i="1"/>
  <c r="AK500" i="1"/>
  <c r="AK244" i="1"/>
  <c r="AK351" i="1"/>
  <c r="AK287" i="1"/>
  <c r="AK136" i="1"/>
  <c r="AK342" i="1"/>
  <c r="AK127" i="1"/>
  <c r="AK53" i="1"/>
  <c r="AK23" i="1"/>
  <c r="AK151" i="1"/>
  <c r="AK215" i="1"/>
  <c r="AK13" i="1"/>
  <c r="AK58" i="1"/>
  <c r="AK424" i="1"/>
  <c r="AK39" i="1"/>
  <c r="AK103" i="1"/>
  <c r="AK167" i="1"/>
  <c r="AK4" i="1"/>
  <c r="AK68" i="1"/>
  <c r="AK29" i="1"/>
  <c r="AK10" i="1"/>
  <c r="AK74" i="1"/>
  <c r="AK472" i="1"/>
  <c r="AK408" i="1"/>
  <c r="AK344" i="1"/>
  <c r="AK280" i="1"/>
  <c r="AK212" i="1"/>
  <c r="AK126" i="1"/>
  <c r="AK387" i="1"/>
  <c r="AK323" i="1"/>
  <c r="AK259" i="1"/>
  <c r="AK184" i="1"/>
  <c r="AK495" i="1"/>
  <c r="AK398" i="1"/>
  <c r="AK314" i="1"/>
  <c r="AK250" i="1"/>
  <c r="AK172" i="1"/>
  <c r="AK487" i="1"/>
  <c r="AK458" i="1"/>
  <c r="AK59" i="1"/>
  <c r="AK123" i="1"/>
  <c r="AK187" i="1"/>
  <c r="AK24" i="1"/>
  <c r="AK88" i="1"/>
  <c r="AK49" i="1"/>
  <c r="AK30" i="1"/>
  <c r="AK94" i="1"/>
  <c r="AK452" i="1"/>
  <c r="AK388" i="1"/>
  <c r="AK324" i="1"/>
  <c r="AK260" i="1"/>
  <c r="AK185" i="1"/>
  <c r="AK491" i="1"/>
  <c r="AK367" i="1"/>
  <c r="AK303" i="1"/>
  <c r="AK239" i="1"/>
  <c r="AK157" i="1"/>
  <c r="AK427" i="1"/>
  <c r="AK358" i="1"/>
  <c r="AK294" i="1"/>
  <c r="AK47" i="1"/>
  <c r="AK111" i="1"/>
  <c r="AK175" i="1"/>
  <c r="AK12" i="1"/>
  <c r="AK76" i="1"/>
  <c r="AK37" i="1"/>
  <c r="AK18" i="1"/>
  <c r="AK82" i="1"/>
  <c r="AK432" i="1"/>
  <c r="AK158" i="1"/>
  <c r="AK480" i="1"/>
  <c r="AK416" i="1"/>
  <c r="AK352" i="1"/>
  <c r="AK288" i="1"/>
  <c r="AK222" i="1"/>
  <c r="AK475" i="1"/>
  <c r="AK400" i="1"/>
  <c r="AK336" i="1"/>
  <c r="AK272" i="1"/>
  <c r="AK201" i="1"/>
  <c r="AK395" i="1"/>
  <c r="AK448" i="1"/>
  <c r="AK384" i="1"/>
  <c r="AK320" i="1"/>
  <c r="AK256" i="1"/>
  <c r="AK180" i="1"/>
  <c r="AK251" i="1"/>
  <c r="AK137" i="1"/>
  <c r="AK363" i="1"/>
  <c r="AK216" i="1"/>
  <c r="AK347" i="1"/>
  <c r="AK130" i="1"/>
  <c r="AK419" i="1"/>
  <c r="AK315" i="1"/>
  <c r="AK195" i="1"/>
  <c r="AK116" i="1"/>
  <c r="AK379" i="1"/>
  <c r="AK283" i="1"/>
  <c r="AK51" i="1"/>
  <c r="AK331" i="1"/>
  <c r="AK267" i="1"/>
  <c r="AK194" i="1"/>
  <c r="AK109" i="1"/>
  <c r="AK67" i="1"/>
  <c r="AK32" i="1"/>
  <c r="AK173" i="1"/>
  <c r="AK471" i="1"/>
  <c r="AK83" i="1"/>
  <c r="AK96" i="1"/>
  <c r="AK299" i="1"/>
  <c r="AK235" i="1"/>
  <c r="AK152" i="1"/>
  <c r="AK19" i="1"/>
  <c r="AK131" i="1"/>
  <c r="AK57" i="1"/>
  <c r="AK147" i="1"/>
  <c r="AK211" i="1"/>
  <c r="AK48" i="1"/>
  <c r="AK9" i="1"/>
  <c r="AK73" i="1"/>
  <c r="AK35" i="1"/>
  <c r="AK99" i="1"/>
  <c r="AK163" i="1"/>
  <c r="AK227" i="1"/>
  <c r="AK64" i="1"/>
  <c r="AK25" i="1"/>
  <c r="AK6" i="1"/>
  <c r="AK115" i="1"/>
  <c r="AK179" i="1"/>
  <c r="AK16" i="1"/>
  <c r="AK80" i="1"/>
  <c r="AK41" i="1"/>
  <c r="AK54" i="1"/>
  <c r="AK102" i="1"/>
  <c r="AK476" i="1"/>
  <c r="AK428" i="1"/>
  <c r="AK38" i="1"/>
  <c r="AK492" i="1"/>
  <c r="AK364" i="1"/>
  <c r="AK300" i="1"/>
  <c r="AK70" i="1"/>
  <c r="AK444" i="1"/>
  <c r="AK236" i="1"/>
  <c r="AK412" i="1"/>
  <c r="AK348" i="1"/>
  <c r="AK284" i="1"/>
  <c r="AK217" i="1"/>
  <c r="AK22" i="1"/>
  <c r="AK86" i="1"/>
  <c r="AK460" i="1"/>
  <c r="AK396" i="1"/>
  <c r="AK332" i="1"/>
  <c r="AK268" i="1"/>
  <c r="AK196" i="1"/>
  <c r="AK380" i="1"/>
  <c r="AK316" i="1"/>
  <c r="AK252" i="1"/>
  <c r="AK174" i="1"/>
  <c r="AK132" i="1"/>
  <c r="AK463" i="1"/>
  <c r="AK189" i="1"/>
  <c r="AK153" i="1"/>
  <c r="AK391" i="1"/>
  <c r="AK455" i="1"/>
  <c r="AK327" i="1"/>
  <c r="AK318" i="1"/>
  <c r="AK110" i="1"/>
  <c r="AK263" i="1"/>
  <c r="AK465" i="1"/>
  <c r="AK375" i="1"/>
  <c r="AK311" i="1"/>
  <c r="AK247" i="1"/>
  <c r="AK168" i="1"/>
  <c r="AK450" i="1"/>
  <c r="AK434" i="1"/>
  <c r="AK417" i="1"/>
  <c r="AK359" i="1"/>
  <c r="AK295" i="1"/>
  <c r="AK231" i="1"/>
  <c r="AK125" i="1"/>
  <c r="AK410" i="1"/>
  <c r="AK406" i="1"/>
  <c r="AK401" i="1"/>
  <c r="AK415" i="1"/>
  <c r="AK343" i="1"/>
  <c r="AK279" i="1"/>
  <c r="AK210" i="1"/>
  <c r="AK97" i="1"/>
  <c r="AK334" i="1"/>
  <c r="AK481" i="1"/>
  <c r="AK353" i="1"/>
  <c r="AK337" i="1"/>
  <c r="AK370" i="1"/>
  <c r="AK302" i="1"/>
  <c r="AK382" i="1"/>
  <c r="AK449" i="1"/>
  <c r="AK385" i="1"/>
  <c r="AK224" i="1"/>
  <c r="AK146" i="1"/>
  <c r="AK494" i="1"/>
  <c r="AK350" i="1"/>
  <c r="AK286" i="1"/>
  <c r="AK497" i="1"/>
  <c r="AK433" i="1"/>
  <c r="AK369" i="1"/>
  <c r="AK246" i="1"/>
  <c r="AK289" i="1"/>
  <c r="AK166" i="1"/>
  <c r="AK479" i="1"/>
  <c r="AK138" i="1"/>
  <c r="AK374" i="1"/>
  <c r="AK273" i="1"/>
  <c r="AK202" i="1"/>
  <c r="AK117" i="1"/>
  <c r="AK230" i="1"/>
  <c r="AK145" i="1"/>
  <c r="AK439" i="1"/>
  <c r="AK413" i="1"/>
  <c r="AK321" i="1"/>
  <c r="AK257" i="1"/>
  <c r="AK181" i="1"/>
  <c r="AK154" i="1"/>
  <c r="AK209" i="1"/>
  <c r="AK124" i="1"/>
  <c r="AK478" i="1"/>
  <c r="AK285" i="1"/>
  <c r="AK305" i="1"/>
  <c r="AK241" i="1"/>
  <c r="AK160" i="1"/>
  <c r="AK262" i="1"/>
  <c r="AK188" i="1"/>
  <c r="AK93" i="1"/>
  <c r="AK426" i="1"/>
  <c r="AK378" i="1"/>
  <c r="AK454" i="1"/>
  <c r="AK493" i="1"/>
  <c r="AK381" i="1"/>
  <c r="AK253" i="1"/>
  <c r="AK306" i="1"/>
  <c r="AK477" i="1"/>
  <c r="AK349" i="1"/>
  <c r="AK218" i="1"/>
  <c r="AK242" i="1"/>
  <c r="AK502" i="1"/>
  <c r="AK402" i="1"/>
  <c r="AK445" i="1"/>
  <c r="AK317" i="1"/>
  <c r="AK112" i="1"/>
  <c r="AK161" i="1"/>
  <c r="AK461" i="1"/>
  <c r="AK397" i="1"/>
  <c r="AK333" i="1"/>
  <c r="AK269" i="1"/>
  <c r="AK197" i="1"/>
  <c r="AK407" i="1"/>
  <c r="AK354" i="1"/>
  <c r="AK290" i="1"/>
  <c r="AK225" i="1"/>
  <c r="AK140" i="1"/>
  <c r="AK467" i="1"/>
  <c r="AK446" i="1"/>
  <c r="AK489" i="1"/>
  <c r="AK425" i="1"/>
  <c r="AK361" i="1"/>
  <c r="AK297" i="1"/>
  <c r="AK233" i="1"/>
  <c r="AK149" i="1"/>
  <c r="AK254" i="1"/>
  <c r="AK177" i="1"/>
  <c r="AK499" i="1"/>
  <c r="AK466" i="1"/>
  <c r="AK501" i="1"/>
  <c r="AK437" i="1"/>
  <c r="AK373" i="1"/>
  <c r="AK309" i="1"/>
  <c r="AK245" i="1"/>
  <c r="AK165" i="1"/>
  <c r="AK176" i="1"/>
  <c r="AK462" i="1"/>
  <c r="AK338" i="1"/>
  <c r="AK274" i="1"/>
  <c r="AK204" i="1"/>
  <c r="AK118" i="1"/>
  <c r="AK431" i="1"/>
  <c r="AK422" i="1"/>
  <c r="AK473" i="1"/>
  <c r="AK409" i="1"/>
  <c r="AK345" i="1"/>
  <c r="AK281" i="1"/>
  <c r="AK213" i="1"/>
  <c r="AK128" i="1"/>
  <c r="AK238" i="1"/>
  <c r="AK156" i="1"/>
  <c r="AK459" i="1"/>
  <c r="AK442" i="1"/>
  <c r="AK485" i="1"/>
  <c r="AK421" i="1"/>
  <c r="AK357" i="1"/>
  <c r="AK293" i="1"/>
  <c r="AK229" i="1"/>
  <c r="AK144" i="1"/>
  <c r="AK429" i="1"/>
  <c r="AK365" i="1"/>
  <c r="AK301" i="1"/>
  <c r="AK237" i="1"/>
  <c r="AK133" i="1"/>
  <c r="AK418" i="1"/>
  <c r="AK322" i="1"/>
  <c r="AK258" i="1"/>
  <c r="AK182" i="1"/>
  <c r="AK3" i="1"/>
  <c r="AL3" i="1" s="1"/>
  <c r="AK498" i="1"/>
  <c r="AK394" i="1"/>
  <c r="AK457" i="1"/>
  <c r="AK393" i="1"/>
  <c r="AK329" i="1"/>
  <c r="AK265" i="1"/>
  <c r="AK192" i="1"/>
  <c r="AK105" i="1"/>
  <c r="AK220" i="1"/>
  <c r="AK134" i="1"/>
  <c r="AK423" i="1"/>
  <c r="AK414" i="1"/>
  <c r="AK469" i="1"/>
  <c r="AK405" i="1"/>
  <c r="AK341" i="1"/>
  <c r="AK277" i="1"/>
  <c r="AK208" i="1"/>
  <c r="AK122" i="1"/>
  <c r="AK474" i="1"/>
  <c r="AK362" i="1"/>
  <c r="AK441" i="1"/>
  <c r="AK377" i="1"/>
  <c r="AK313" i="1"/>
  <c r="AK249" i="1"/>
  <c r="AK170" i="1"/>
  <c r="AK270" i="1"/>
  <c r="AK198" i="1"/>
  <c r="AK113" i="1"/>
  <c r="AK490" i="1"/>
  <c r="AK386" i="1"/>
  <c r="AK453" i="1"/>
  <c r="AK389" i="1"/>
  <c r="AK325" i="1"/>
  <c r="AK261" i="1"/>
  <c r="AK186" i="1"/>
  <c r="AL4" i="1" l="1"/>
  <c r="AL5" i="1" s="1"/>
  <c r="AL6" i="1" s="1"/>
  <c r="AL7" i="1" s="1"/>
  <c r="AL8" i="1" s="1"/>
  <c r="AL9" i="1" s="1"/>
  <c r="AL10" i="1" s="1"/>
  <c r="AL11" i="1" s="1"/>
  <c r="AL12" i="1" s="1"/>
  <c r="AL13" i="1" s="1"/>
  <c r="AL14" i="1" s="1"/>
  <c r="AL15" i="1" s="1"/>
  <c r="AL16" i="1" s="1"/>
  <c r="AL17" i="1" s="1"/>
  <c r="AL18" i="1" s="1"/>
  <c r="AL19" i="1" s="1"/>
  <c r="AL20" i="1" s="1"/>
  <c r="AL21" i="1" s="1"/>
  <c r="AL22" i="1" s="1"/>
  <c r="AL23" i="1" s="1"/>
  <c r="AL24" i="1" s="1"/>
  <c r="AL25" i="1" s="1"/>
  <c r="AL26" i="1" s="1"/>
  <c r="AL27" i="1" s="1"/>
  <c r="AL28" i="1" s="1"/>
  <c r="AL29" i="1" s="1"/>
  <c r="AL30" i="1" s="1"/>
  <c r="AL31" i="1" s="1"/>
  <c r="AL32" i="1" s="1"/>
  <c r="AL33" i="1" s="1"/>
  <c r="AL34" i="1" s="1"/>
  <c r="AL35" i="1" s="1"/>
  <c r="AL36" i="1" s="1"/>
  <c r="AL37" i="1" s="1"/>
  <c r="AL38" i="1" s="1"/>
  <c r="AL39" i="1" s="1"/>
  <c r="AL40" i="1" s="1"/>
  <c r="AL41" i="1" s="1"/>
  <c r="AL42" i="1" s="1"/>
  <c r="AL43" i="1" s="1"/>
  <c r="AL44" i="1" s="1"/>
  <c r="AL45" i="1" s="1"/>
  <c r="AL46" i="1" s="1"/>
  <c r="AL47" i="1" s="1"/>
  <c r="AL48" i="1" s="1"/>
  <c r="AL49" i="1" s="1"/>
  <c r="AL50" i="1" s="1"/>
  <c r="AL51" i="1" s="1"/>
  <c r="AL52" i="1" s="1"/>
  <c r="AL53" i="1" s="1"/>
  <c r="AL54" i="1" s="1"/>
  <c r="AL55" i="1" s="1"/>
  <c r="AL56" i="1" s="1"/>
  <c r="AL57" i="1" s="1"/>
  <c r="AL58" i="1" s="1"/>
  <c r="AL59" i="1" s="1"/>
  <c r="AL60" i="1" s="1"/>
  <c r="AL61" i="1" s="1"/>
  <c r="AL62" i="1" s="1"/>
  <c r="AL63" i="1" s="1"/>
  <c r="AL64" i="1" s="1"/>
  <c r="AL65" i="1" s="1"/>
  <c r="AL66" i="1" s="1"/>
  <c r="AL67" i="1" s="1"/>
  <c r="AL68" i="1" s="1"/>
  <c r="AL69" i="1" s="1"/>
  <c r="AL70" i="1" s="1"/>
  <c r="AL71" i="1" s="1"/>
  <c r="AL72" i="1" s="1"/>
  <c r="AL73" i="1" s="1"/>
  <c r="AL74" i="1" s="1"/>
  <c r="AL75" i="1" s="1"/>
  <c r="AL76" i="1" s="1"/>
  <c r="AL77" i="1" s="1"/>
  <c r="AL78" i="1" s="1"/>
  <c r="AL79" i="1" s="1"/>
  <c r="AL80" i="1" s="1"/>
  <c r="AL81" i="1" s="1"/>
  <c r="AL82" i="1" s="1"/>
  <c r="AL83" i="1" s="1"/>
  <c r="AL84" i="1" s="1"/>
  <c r="AL85" i="1" s="1"/>
  <c r="AL86" i="1" s="1"/>
  <c r="AL87" i="1" s="1"/>
  <c r="AL88" i="1" s="1"/>
  <c r="AL89" i="1" s="1"/>
  <c r="AL90" i="1" s="1"/>
  <c r="AL91" i="1" s="1"/>
  <c r="AL92" i="1" s="1"/>
  <c r="AL93" i="1" s="1"/>
  <c r="AL94" i="1" s="1"/>
  <c r="AL95" i="1" s="1"/>
  <c r="AL96" i="1" s="1"/>
  <c r="AL97" i="1" s="1"/>
  <c r="AL98" i="1" s="1"/>
  <c r="AL99" i="1" s="1"/>
  <c r="AL100" i="1" s="1"/>
  <c r="AL101" i="1" s="1"/>
  <c r="AL102" i="1" s="1"/>
  <c r="AL103" i="1" s="1"/>
  <c r="AL104" i="1" s="1"/>
  <c r="AL105" i="1" s="1"/>
  <c r="AL106" i="1" s="1"/>
  <c r="AL107" i="1" s="1"/>
  <c r="AL108" i="1" s="1"/>
  <c r="AL109" i="1" s="1"/>
  <c r="AL110" i="1" s="1"/>
  <c r="AL111" i="1" s="1"/>
  <c r="AL112" i="1" s="1"/>
  <c r="AL113" i="1" s="1"/>
  <c r="AL114" i="1" s="1"/>
  <c r="AL115" i="1" s="1"/>
  <c r="AL116" i="1" s="1"/>
  <c r="AL117" i="1" s="1"/>
  <c r="AL118" i="1" s="1"/>
  <c r="AL119" i="1" s="1"/>
  <c r="AL120" i="1" s="1"/>
  <c r="AL121" i="1" s="1"/>
  <c r="AL122" i="1" s="1"/>
  <c r="AL123" i="1" s="1"/>
  <c r="AL124" i="1" s="1"/>
  <c r="AL125" i="1" s="1"/>
  <c r="AL126" i="1" s="1"/>
  <c r="AL127" i="1" s="1"/>
  <c r="AL128" i="1" s="1"/>
  <c r="AL129" i="1" s="1"/>
  <c r="AL130" i="1" s="1"/>
  <c r="AL131" i="1" s="1"/>
  <c r="AL132" i="1" s="1"/>
  <c r="AL133" i="1" s="1"/>
  <c r="AL134" i="1" s="1"/>
  <c r="AL135" i="1" s="1"/>
  <c r="AL136" i="1" s="1"/>
  <c r="AL137" i="1" s="1"/>
  <c r="AL138" i="1" s="1"/>
  <c r="AL139" i="1" s="1"/>
  <c r="AL140" i="1" s="1"/>
  <c r="AL141" i="1" s="1"/>
  <c r="AL142" i="1" s="1"/>
  <c r="AL143" i="1" s="1"/>
  <c r="AL144" i="1" s="1"/>
  <c r="AL145" i="1" s="1"/>
  <c r="AL146" i="1" s="1"/>
  <c r="AL147" i="1" s="1"/>
  <c r="AL148" i="1" s="1"/>
  <c r="AL149" i="1" s="1"/>
  <c r="AL150" i="1" s="1"/>
  <c r="AL151" i="1" s="1"/>
  <c r="AL152" i="1" s="1"/>
  <c r="AL153" i="1" s="1"/>
  <c r="AL154" i="1" s="1"/>
  <c r="AL155" i="1" s="1"/>
  <c r="AL156" i="1" s="1"/>
  <c r="AL157" i="1" s="1"/>
  <c r="AL158" i="1" s="1"/>
  <c r="AL159" i="1" s="1"/>
  <c r="AL160" i="1" s="1"/>
  <c r="AL161" i="1" s="1"/>
  <c r="AL162" i="1" s="1"/>
  <c r="AL163" i="1" s="1"/>
  <c r="AL164" i="1" s="1"/>
  <c r="AL165" i="1" s="1"/>
  <c r="AL166" i="1" s="1"/>
  <c r="AL167" i="1" s="1"/>
  <c r="AL168" i="1" s="1"/>
  <c r="AL169" i="1" s="1"/>
  <c r="AL170" i="1" s="1"/>
  <c r="AL171" i="1" s="1"/>
  <c r="AL172" i="1" s="1"/>
  <c r="AL173" i="1" s="1"/>
  <c r="AL174" i="1" s="1"/>
  <c r="AL175" i="1" s="1"/>
  <c r="AL176" i="1" s="1"/>
  <c r="AL177" i="1" s="1"/>
  <c r="AL178" i="1" s="1"/>
  <c r="AL179" i="1" s="1"/>
  <c r="AL180" i="1" s="1"/>
  <c r="AL181" i="1" s="1"/>
  <c r="AL182" i="1" s="1"/>
  <c r="AL183" i="1" s="1"/>
  <c r="AL184" i="1" s="1"/>
  <c r="AL185" i="1" s="1"/>
  <c r="AL186" i="1" s="1"/>
  <c r="AL187" i="1" s="1"/>
  <c r="AL188" i="1" s="1"/>
  <c r="AL189" i="1" s="1"/>
  <c r="AL190" i="1" s="1"/>
  <c r="AL191" i="1" s="1"/>
  <c r="AL192" i="1" s="1"/>
  <c r="AL193" i="1" s="1"/>
  <c r="AL194" i="1" s="1"/>
  <c r="AL195" i="1" s="1"/>
  <c r="AL196" i="1" s="1"/>
  <c r="AL197" i="1" s="1"/>
  <c r="AL198" i="1" s="1"/>
  <c r="AL199" i="1" s="1"/>
  <c r="AL200" i="1" s="1"/>
  <c r="AL201" i="1" s="1"/>
  <c r="AL202" i="1" s="1"/>
  <c r="AL203" i="1" s="1"/>
  <c r="AL204" i="1" s="1"/>
  <c r="AL205" i="1" s="1"/>
  <c r="AL206" i="1" s="1"/>
  <c r="AL207" i="1" s="1"/>
  <c r="AL208" i="1" s="1"/>
  <c r="AL209" i="1" s="1"/>
  <c r="AL210" i="1" s="1"/>
  <c r="AL211" i="1" s="1"/>
  <c r="AL212" i="1" s="1"/>
  <c r="AL213" i="1" s="1"/>
  <c r="AL214" i="1" s="1"/>
  <c r="AL215" i="1" s="1"/>
  <c r="AL216" i="1" s="1"/>
  <c r="AL217" i="1" s="1"/>
  <c r="AL218" i="1" s="1"/>
  <c r="AL219" i="1" s="1"/>
  <c r="AL220" i="1" s="1"/>
  <c r="AL221" i="1" s="1"/>
  <c r="AL222" i="1" s="1"/>
  <c r="AL223" i="1" s="1"/>
  <c r="AL224" i="1" s="1"/>
  <c r="AL225" i="1" s="1"/>
  <c r="AL226" i="1" s="1"/>
  <c r="AL227" i="1" s="1"/>
  <c r="AL228" i="1" s="1"/>
  <c r="AL229" i="1" s="1"/>
  <c r="AL230" i="1" s="1"/>
  <c r="AL231" i="1" s="1"/>
  <c r="AL232" i="1" s="1"/>
  <c r="AL233" i="1" s="1"/>
  <c r="AL234" i="1" s="1"/>
  <c r="AL235" i="1" s="1"/>
  <c r="AL236" i="1" s="1"/>
  <c r="AL237" i="1" s="1"/>
  <c r="AL238" i="1" s="1"/>
  <c r="AL239" i="1" s="1"/>
  <c r="AL240" i="1" s="1"/>
  <c r="AL241" i="1" s="1"/>
  <c r="AL242" i="1" s="1"/>
  <c r="AL243" i="1" s="1"/>
  <c r="AL244" i="1" s="1"/>
  <c r="AL245" i="1" s="1"/>
  <c r="AL246" i="1" s="1"/>
  <c r="AL247" i="1" s="1"/>
  <c r="AL248" i="1" s="1"/>
  <c r="AL249" i="1" s="1"/>
  <c r="AL250" i="1" s="1"/>
  <c r="AL251" i="1" s="1"/>
  <c r="AL252" i="1" s="1"/>
  <c r="AL253" i="1" s="1"/>
  <c r="AL254" i="1" s="1"/>
  <c r="AL255" i="1" s="1"/>
  <c r="AL256" i="1" s="1"/>
  <c r="AL257" i="1" s="1"/>
  <c r="AL258" i="1" s="1"/>
  <c r="AL259" i="1" s="1"/>
  <c r="AL260" i="1" s="1"/>
  <c r="AL261" i="1" s="1"/>
  <c r="AL262" i="1" s="1"/>
  <c r="AL263" i="1" s="1"/>
  <c r="AL264" i="1" s="1"/>
  <c r="AL265" i="1" s="1"/>
  <c r="AL266" i="1" s="1"/>
  <c r="AL267" i="1" s="1"/>
  <c r="AL268" i="1" s="1"/>
  <c r="AL269" i="1" s="1"/>
  <c r="AL270" i="1" s="1"/>
  <c r="AL271" i="1" s="1"/>
  <c r="AL272" i="1" s="1"/>
  <c r="AL273" i="1" s="1"/>
  <c r="AL274" i="1" s="1"/>
  <c r="AL275" i="1" s="1"/>
  <c r="AL276" i="1" s="1"/>
  <c r="AL277" i="1" s="1"/>
  <c r="AL278" i="1" s="1"/>
  <c r="AL279" i="1" s="1"/>
  <c r="AL280" i="1" s="1"/>
  <c r="AL281" i="1" s="1"/>
  <c r="AL282" i="1" s="1"/>
  <c r="AL283" i="1" s="1"/>
  <c r="AL284" i="1" s="1"/>
  <c r="AL285" i="1" s="1"/>
  <c r="AL286" i="1" s="1"/>
  <c r="AL287" i="1" s="1"/>
  <c r="AL288" i="1" s="1"/>
  <c r="AL289" i="1" s="1"/>
  <c r="AL290" i="1" s="1"/>
  <c r="AL291" i="1" s="1"/>
  <c r="AL292" i="1" s="1"/>
  <c r="AL293" i="1" s="1"/>
  <c r="AL294" i="1" s="1"/>
  <c r="AL295" i="1" s="1"/>
  <c r="AL296" i="1" s="1"/>
  <c r="AL297" i="1" s="1"/>
  <c r="AL298" i="1" s="1"/>
  <c r="AL299" i="1" s="1"/>
  <c r="AL300" i="1" s="1"/>
  <c r="AL301" i="1" s="1"/>
  <c r="AL302" i="1" s="1"/>
  <c r="AL303" i="1" s="1"/>
  <c r="AL304" i="1" s="1"/>
  <c r="AL305" i="1" s="1"/>
  <c r="AL306" i="1" s="1"/>
  <c r="AL307" i="1" s="1"/>
  <c r="AL308" i="1" s="1"/>
  <c r="AL309" i="1" s="1"/>
  <c r="AL310" i="1" s="1"/>
  <c r="AL311" i="1" s="1"/>
  <c r="AL312" i="1" s="1"/>
  <c r="AL313" i="1" s="1"/>
  <c r="AL314" i="1" s="1"/>
  <c r="AL315" i="1" s="1"/>
  <c r="AL316" i="1" s="1"/>
  <c r="AL317" i="1" s="1"/>
  <c r="AL318" i="1" s="1"/>
  <c r="AL319" i="1" s="1"/>
  <c r="AL320" i="1" s="1"/>
  <c r="AL321" i="1" s="1"/>
  <c r="AL322" i="1" s="1"/>
  <c r="AL323" i="1" s="1"/>
  <c r="AL324" i="1" s="1"/>
  <c r="AL325" i="1" s="1"/>
  <c r="AL326" i="1" s="1"/>
  <c r="AL327" i="1" s="1"/>
  <c r="AL328" i="1" s="1"/>
  <c r="AL329" i="1" s="1"/>
  <c r="AL330" i="1" s="1"/>
  <c r="AL331" i="1" s="1"/>
  <c r="AL332" i="1" s="1"/>
  <c r="AL333" i="1" s="1"/>
  <c r="AL334" i="1" s="1"/>
  <c r="AL335" i="1" s="1"/>
  <c r="AL336" i="1" s="1"/>
  <c r="AL337" i="1" s="1"/>
  <c r="AL338" i="1" s="1"/>
  <c r="AL339" i="1" s="1"/>
  <c r="AL340" i="1" s="1"/>
  <c r="AL341" i="1" s="1"/>
  <c r="AL342" i="1" s="1"/>
  <c r="AL343" i="1" s="1"/>
  <c r="AL344" i="1" s="1"/>
  <c r="AL345" i="1" s="1"/>
  <c r="AL346" i="1" s="1"/>
  <c r="AL347" i="1" s="1"/>
  <c r="AL348" i="1" s="1"/>
  <c r="AL349" i="1" s="1"/>
  <c r="AL350" i="1" s="1"/>
  <c r="AL351" i="1" s="1"/>
  <c r="AL352" i="1" s="1"/>
  <c r="AL353" i="1" s="1"/>
  <c r="AL354" i="1" s="1"/>
  <c r="AL355" i="1" s="1"/>
  <c r="AL356" i="1" s="1"/>
  <c r="AL357" i="1" s="1"/>
  <c r="AL358" i="1" s="1"/>
  <c r="AL359" i="1" s="1"/>
  <c r="AL360" i="1" s="1"/>
  <c r="AL361" i="1" s="1"/>
  <c r="AL362" i="1" s="1"/>
  <c r="AL363" i="1" s="1"/>
  <c r="AL364" i="1" s="1"/>
  <c r="AL365" i="1" s="1"/>
  <c r="AL366" i="1" s="1"/>
  <c r="AL367" i="1" s="1"/>
  <c r="AL368" i="1" s="1"/>
  <c r="AL369" i="1" s="1"/>
  <c r="AL370" i="1" s="1"/>
  <c r="AL371" i="1" s="1"/>
  <c r="AL372" i="1" s="1"/>
  <c r="AL373" i="1" s="1"/>
  <c r="AL374" i="1" s="1"/>
  <c r="AL375" i="1" s="1"/>
  <c r="AL376" i="1" s="1"/>
  <c r="AL377" i="1" s="1"/>
  <c r="AL378" i="1" s="1"/>
  <c r="AL379" i="1" s="1"/>
  <c r="AL380" i="1" s="1"/>
  <c r="AL381" i="1" s="1"/>
  <c r="AL382" i="1" s="1"/>
  <c r="AL383" i="1" s="1"/>
  <c r="AL384" i="1" s="1"/>
  <c r="AL385" i="1" s="1"/>
  <c r="AL386" i="1" s="1"/>
  <c r="AL387" i="1" s="1"/>
  <c r="AL388" i="1" s="1"/>
  <c r="AL389" i="1" s="1"/>
  <c r="AL390" i="1" s="1"/>
  <c r="AL391" i="1" s="1"/>
  <c r="AL392" i="1" s="1"/>
  <c r="AL393" i="1" s="1"/>
  <c r="AL394" i="1" s="1"/>
  <c r="AL395" i="1" s="1"/>
  <c r="AL396" i="1" s="1"/>
  <c r="AL397" i="1" s="1"/>
  <c r="AL398" i="1" s="1"/>
  <c r="AL399" i="1" s="1"/>
  <c r="AL400" i="1" s="1"/>
  <c r="AL401" i="1" s="1"/>
  <c r="AL402" i="1" s="1"/>
  <c r="AL403" i="1" s="1"/>
  <c r="AL404" i="1" s="1"/>
  <c r="AL405" i="1" s="1"/>
  <c r="AL406" i="1" s="1"/>
  <c r="AL407" i="1" s="1"/>
  <c r="AL408" i="1" s="1"/>
  <c r="AL409" i="1" s="1"/>
  <c r="AL410" i="1" s="1"/>
  <c r="AL411" i="1" s="1"/>
  <c r="AL412" i="1" s="1"/>
  <c r="AL413" i="1" s="1"/>
  <c r="AL414" i="1" s="1"/>
  <c r="AL415" i="1" s="1"/>
  <c r="AL416" i="1" s="1"/>
  <c r="AL417" i="1" s="1"/>
  <c r="AL418" i="1" s="1"/>
  <c r="AL419" i="1" s="1"/>
  <c r="AL420" i="1" s="1"/>
  <c r="AL421" i="1" s="1"/>
  <c r="AL422" i="1" s="1"/>
  <c r="AL423" i="1" s="1"/>
  <c r="AL424" i="1" s="1"/>
  <c r="AL425" i="1" s="1"/>
  <c r="AL426" i="1" s="1"/>
  <c r="AL427" i="1" s="1"/>
  <c r="AL428" i="1" s="1"/>
  <c r="AL429" i="1" s="1"/>
  <c r="AL430" i="1" s="1"/>
  <c r="AL431" i="1" s="1"/>
  <c r="AL432" i="1" s="1"/>
  <c r="AL433" i="1" s="1"/>
  <c r="AL434" i="1" s="1"/>
  <c r="AL435" i="1" s="1"/>
  <c r="AL436" i="1" s="1"/>
  <c r="AL437" i="1" s="1"/>
  <c r="AL438" i="1" s="1"/>
  <c r="AL439" i="1" s="1"/>
  <c r="AL440" i="1" s="1"/>
  <c r="AL441" i="1" s="1"/>
  <c r="AL442" i="1" s="1"/>
  <c r="AL443" i="1" s="1"/>
  <c r="AL444" i="1" s="1"/>
  <c r="AL445" i="1" s="1"/>
  <c r="AL446" i="1" s="1"/>
  <c r="AL447" i="1" s="1"/>
  <c r="AL448" i="1" s="1"/>
  <c r="AL449" i="1" s="1"/>
  <c r="AL450" i="1" s="1"/>
  <c r="AL451" i="1" s="1"/>
  <c r="AL452" i="1" s="1"/>
  <c r="AL453" i="1" s="1"/>
  <c r="AL454" i="1" s="1"/>
  <c r="AL455" i="1" s="1"/>
  <c r="AL456" i="1" s="1"/>
  <c r="AL457" i="1" s="1"/>
  <c r="AL458" i="1" s="1"/>
  <c r="AL459" i="1" s="1"/>
  <c r="AL460" i="1" s="1"/>
  <c r="AL461" i="1" s="1"/>
  <c r="AL462" i="1" s="1"/>
  <c r="AL463" i="1" s="1"/>
  <c r="AL464" i="1" s="1"/>
  <c r="AL465" i="1" s="1"/>
  <c r="AL466" i="1" s="1"/>
  <c r="AL467" i="1" s="1"/>
  <c r="AL468" i="1" s="1"/>
  <c r="AL469" i="1" s="1"/>
  <c r="AL470" i="1" s="1"/>
  <c r="AL471" i="1" s="1"/>
  <c r="AL472" i="1" s="1"/>
  <c r="AL473" i="1" s="1"/>
  <c r="AL474" i="1" s="1"/>
  <c r="AL475" i="1" s="1"/>
  <c r="AL476" i="1" s="1"/>
  <c r="AL477" i="1" s="1"/>
  <c r="AL478" i="1" s="1"/>
  <c r="AL479" i="1" s="1"/>
  <c r="AL480" i="1" s="1"/>
  <c r="AL481" i="1" s="1"/>
  <c r="AL482" i="1" s="1"/>
  <c r="AL483" i="1" s="1"/>
  <c r="AL484" i="1" s="1"/>
  <c r="AL485" i="1" s="1"/>
  <c r="AL486" i="1" s="1"/>
  <c r="AL487" i="1" s="1"/>
  <c r="AL488" i="1" s="1"/>
  <c r="AL489" i="1" s="1"/>
  <c r="AL490" i="1" s="1"/>
  <c r="AL491" i="1" s="1"/>
  <c r="AL492" i="1" s="1"/>
  <c r="AL493" i="1" s="1"/>
  <c r="AL494" i="1" s="1"/>
  <c r="AL495" i="1" s="1"/>
  <c r="AL496" i="1" s="1"/>
  <c r="AL497" i="1" s="1"/>
  <c r="AL498" i="1" s="1"/>
  <c r="AL499" i="1" s="1"/>
  <c r="AL500" i="1" s="1"/>
  <c r="AL501" i="1" s="1"/>
  <c r="AL502" i="1" s="1"/>
  <c r="P3" i="1" l="1"/>
  <c r="P4" i="1" s="1"/>
  <c r="P5" i="1" l="1"/>
  <c r="Q3" i="1"/>
  <c r="R3" i="1" s="1"/>
  <c r="S3" i="1" s="1"/>
  <c r="T3" i="1" s="1"/>
  <c r="U3" i="1" s="1"/>
  <c r="V3" i="1" s="1"/>
  <c r="W3" i="1" s="1"/>
  <c r="X3" i="1" s="1"/>
  <c r="Y3" i="1" s="1"/>
  <c r="Q4" i="1" l="1"/>
  <c r="R4" i="1" s="1"/>
  <c r="S4" i="1" s="1"/>
  <c r="T4" i="1" s="1"/>
  <c r="U4" i="1" s="1"/>
  <c r="V4" i="1" s="1"/>
  <c r="W4" i="1" s="1"/>
  <c r="X4" i="1" s="1"/>
  <c r="Y4" i="1" s="1"/>
  <c r="P6" i="1"/>
  <c r="Q5" i="1" l="1"/>
  <c r="R5" i="1" s="1"/>
  <c r="S5" i="1" s="1"/>
  <c r="T5" i="1" s="1"/>
  <c r="U5" i="1" s="1"/>
  <c r="V5" i="1" s="1"/>
  <c r="W5" i="1" s="1"/>
  <c r="X5" i="1" s="1"/>
  <c r="Y5" i="1" s="1"/>
  <c r="P7" i="1"/>
  <c r="Q6" i="1" l="1"/>
  <c r="R6" i="1" s="1"/>
  <c r="S6" i="1" s="1"/>
  <c r="T6" i="1" s="1"/>
  <c r="U6" i="1" s="1"/>
  <c r="V6" i="1" s="1"/>
  <c r="W6" i="1" s="1"/>
  <c r="X6" i="1" s="1"/>
  <c r="Y6" i="1" s="1"/>
  <c r="P8" i="1"/>
  <c r="Q7" i="1" l="1"/>
  <c r="R7" i="1" s="1"/>
  <c r="S7" i="1" s="1"/>
  <c r="T7" i="1" s="1"/>
  <c r="U7" i="1" s="1"/>
  <c r="V7" i="1" s="1"/>
  <c r="W7" i="1" s="1"/>
  <c r="X7" i="1" s="1"/>
  <c r="Y7" i="1" s="1"/>
  <c r="P9" i="1"/>
  <c r="Q8" i="1" l="1"/>
  <c r="R8" i="1" s="1"/>
  <c r="S8" i="1" s="1"/>
  <c r="T8" i="1" s="1"/>
  <c r="U8" i="1" s="1"/>
  <c r="V8" i="1" s="1"/>
  <c r="W8" i="1" s="1"/>
  <c r="X8" i="1" s="1"/>
  <c r="Y8" i="1" s="1"/>
  <c r="P10" i="1"/>
  <c r="Q9" i="1" l="1"/>
  <c r="R9" i="1" s="1"/>
  <c r="S9" i="1" s="1"/>
  <c r="T9" i="1" s="1"/>
  <c r="U9" i="1" s="1"/>
  <c r="V9" i="1" s="1"/>
  <c r="W9" i="1" s="1"/>
  <c r="X9" i="1" s="1"/>
  <c r="Y9" i="1" s="1"/>
  <c r="P11" i="1"/>
  <c r="Q10" i="1" l="1"/>
  <c r="R10" i="1" s="1"/>
  <c r="S10" i="1" s="1"/>
  <c r="T10" i="1" s="1"/>
  <c r="U10" i="1" s="1"/>
  <c r="V10" i="1" s="1"/>
  <c r="W10" i="1" s="1"/>
  <c r="X10" i="1" s="1"/>
  <c r="Y10" i="1" s="1"/>
  <c r="P12" i="1"/>
  <c r="Q11" i="1" l="1"/>
  <c r="R11" i="1" s="1"/>
  <c r="S11" i="1" s="1"/>
  <c r="T11" i="1" s="1"/>
  <c r="U11" i="1" s="1"/>
  <c r="V11" i="1" s="1"/>
  <c r="W11" i="1" s="1"/>
  <c r="X11" i="1" s="1"/>
  <c r="Y11" i="1" s="1"/>
  <c r="P13" i="1"/>
  <c r="Q12" i="1" l="1"/>
  <c r="R12" i="1" s="1"/>
  <c r="S12" i="1" s="1"/>
  <c r="T12" i="1" s="1"/>
  <c r="U12" i="1" s="1"/>
  <c r="V12" i="1" s="1"/>
  <c r="W12" i="1" s="1"/>
  <c r="X12" i="1" s="1"/>
  <c r="Y12" i="1" s="1"/>
  <c r="P14" i="1"/>
  <c r="Q13" i="1" l="1"/>
  <c r="R13" i="1" s="1"/>
  <c r="S13" i="1" s="1"/>
  <c r="T13" i="1" s="1"/>
  <c r="U13" i="1" s="1"/>
  <c r="V13" i="1" s="1"/>
  <c r="W13" i="1" s="1"/>
  <c r="X13" i="1" s="1"/>
  <c r="Y13" i="1" s="1"/>
  <c r="P15" i="1"/>
  <c r="Q14" i="1" l="1"/>
  <c r="R14" i="1" s="1"/>
  <c r="S14" i="1" s="1"/>
  <c r="T14" i="1" s="1"/>
  <c r="U14" i="1" s="1"/>
  <c r="V14" i="1" s="1"/>
  <c r="W14" i="1" s="1"/>
  <c r="X14" i="1" s="1"/>
  <c r="Y14" i="1" s="1"/>
  <c r="P16" i="1"/>
  <c r="Q15" i="1" l="1"/>
  <c r="Q16" i="1" s="1"/>
  <c r="P17" i="1"/>
  <c r="R15" i="1" l="1"/>
  <c r="S15" i="1" s="1"/>
  <c r="T15" i="1" s="1"/>
  <c r="U15" i="1" s="1"/>
  <c r="V15" i="1" s="1"/>
  <c r="W15" i="1" s="1"/>
  <c r="X15" i="1" s="1"/>
  <c r="Y15" i="1" s="1"/>
  <c r="P18" i="1"/>
  <c r="Q17" i="1"/>
  <c r="R16" i="1" l="1"/>
  <c r="S16" i="1" s="1"/>
  <c r="T16" i="1" s="1"/>
  <c r="U16" i="1" s="1"/>
  <c r="V16" i="1" s="1"/>
  <c r="W16" i="1" s="1"/>
  <c r="X16" i="1" s="1"/>
  <c r="Y16" i="1" s="1"/>
  <c r="P19" i="1"/>
  <c r="Q18" i="1"/>
  <c r="R17" i="1" l="1"/>
  <c r="S17" i="1" s="1"/>
  <c r="T17" i="1" s="1"/>
  <c r="U17" i="1" s="1"/>
  <c r="V17" i="1" s="1"/>
  <c r="W17" i="1" s="1"/>
  <c r="X17" i="1" s="1"/>
  <c r="Y17" i="1" s="1"/>
  <c r="P20" i="1"/>
  <c r="Q19" i="1"/>
  <c r="R18" i="1" l="1"/>
  <c r="S18" i="1" s="1"/>
  <c r="T18" i="1" s="1"/>
  <c r="U18" i="1" s="1"/>
  <c r="V18" i="1" s="1"/>
  <c r="W18" i="1" s="1"/>
  <c r="X18" i="1" s="1"/>
  <c r="Y18" i="1" s="1"/>
  <c r="P21" i="1"/>
  <c r="Q20" i="1"/>
  <c r="R19" i="1" l="1"/>
  <c r="S19" i="1" s="1"/>
  <c r="T19" i="1" s="1"/>
  <c r="U19" i="1" s="1"/>
  <c r="V19" i="1" s="1"/>
  <c r="W19" i="1" s="1"/>
  <c r="X19" i="1" s="1"/>
  <c r="Y19" i="1" s="1"/>
  <c r="P22" i="1"/>
  <c r="Q21" i="1"/>
  <c r="R20" i="1" l="1"/>
  <c r="S20" i="1" s="1"/>
  <c r="T20" i="1" s="1"/>
  <c r="U20" i="1" s="1"/>
  <c r="V20" i="1" s="1"/>
  <c r="W20" i="1" s="1"/>
  <c r="X20" i="1" s="1"/>
  <c r="Y20" i="1" s="1"/>
  <c r="P23" i="1"/>
  <c r="Q22" i="1"/>
  <c r="R21" i="1" l="1"/>
  <c r="S21" i="1" s="1"/>
  <c r="T21" i="1" s="1"/>
  <c r="U21" i="1" s="1"/>
  <c r="V21" i="1" s="1"/>
  <c r="W21" i="1" s="1"/>
  <c r="X21" i="1" s="1"/>
  <c r="Y21" i="1" s="1"/>
  <c r="P24" i="1"/>
  <c r="Q23" i="1"/>
  <c r="R22" i="1" l="1"/>
  <c r="S22" i="1" s="1"/>
  <c r="T22" i="1" s="1"/>
  <c r="U22" i="1" s="1"/>
  <c r="V22" i="1" s="1"/>
  <c r="W22" i="1" s="1"/>
  <c r="X22" i="1" s="1"/>
  <c r="Y22" i="1" s="1"/>
  <c r="P25" i="1"/>
  <c r="Q24" i="1"/>
  <c r="R23" i="1" l="1"/>
  <c r="S23" i="1" s="1"/>
  <c r="T23" i="1" s="1"/>
  <c r="U23" i="1" s="1"/>
  <c r="V23" i="1" s="1"/>
  <c r="W23" i="1" s="1"/>
  <c r="X23" i="1" s="1"/>
  <c r="Y23" i="1" s="1"/>
  <c r="P26" i="1"/>
  <c r="Q25" i="1"/>
  <c r="R24" i="1" l="1"/>
  <c r="S24" i="1" s="1"/>
  <c r="T24" i="1" s="1"/>
  <c r="U24" i="1" s="1"/>
  <c r="V24" i="1" s="1"/>
  <c r="W24" i="1" s="1"/>
  <c r="X24" i="1" s="1"/>
  <c r="Y24" i="1" s="1"/>
  <c r="P27" i="1"/>
  <c r="Q26" i="1"/>
  <c r="R25" i="1" l="1"/>
  <c r="S25" i="1" s="1"/>
  <c r="T25" i="1" s="1"/>
  <c r="U25" i="1" s="1"/>
  <c r="V25" i="1" s="1"/>
  <c r="W25" i="1" s="1"/>
  <c r="X25" i="1" s="1"/>
  <c r="Y25" i="1" s="1"/>
  <c r="P28" i="1"/>
  <c r="Q27" i="1"/>
  <c r="R26" i="1" l="1"/>
  <c r="S26" i="1" s="1"/>
  <c r="T26" i="1" s="1"/>
  <c r="U26" i="1" s="1"/>
  <c r="V26" i="1" s="1"/>
  <c r="W26" i="1" s="1"/>
  <c r="X26" i="1" s="1"/>
  <c r="Y26" i="1" s="1"/>
  <c r="P29" i="1"/>
  <c r="Q28" i="1"/>
  <c r="R27" i="1" l="1"/>
  <c r="S27" i="1" s="1"/>
  <c r="T27" i="1" s="1"/>
  <c r="U27" i="1" s="1"/>
  <c r="V27" i="1" s="1"/>
  <c r="W27" i="1" s="1"/>
  <c r="X27" i="1" s="1"/>
  <c r="Y27" i="1" s="1"/>
  <c r="P30" i="1"/>
  <c r="Q29" i="1"/>
  <c r="R28" i="1" l="1"/>
  <c r="S28" i="1" s="1"/>
  <c r="T28" i="1" s="1"/>
  <c r="U28" i="1" s="1"/>
  <c r="V28" i="1" s="1"/>
  <c r="W28" i="1" s="1"/>
  <c r="X28" i="1" s="1"/>
  <c r="Y28" i="1" s="1"/>
  <c r="P31" i="1"/>
  <c r="Q30" i="1"/>
  <c r="R29" i="1" l="1"/>
  <c r="S29" i="1" s="1"/>
  <c r="T29" i="1" s="1"/>
  <c r="U29" i="1" s="1"/>
  <c r="V29" i="1" s="1"/>
  <c r="W29" i="1" s="1"/>
  <c r="X29" i="1" s="1"/>
  <c r="Y29" i="1" s="1"/>
  <c r="P32" i="1"/>
  <c r="Q31" i="1"/>
  <c r="R30" i="1" l="1"/>
  <c r="S30" i="1" s="1"/>
  <c r="T30" i="1" s="1"/>
  <c r="U30" i="1" s="1"/>
  <c r="V30" i="1" s="1"/>
  <c r="W30" i="1" s="1"/>
  <c r="X30" i="1" s="1"/>
  <c r="Y30" i="1" s="1"/>
  <c r="P33" i="1"/>
  <c r="Q32" i="1"/>
  <c r="R31" i="1" l="1"/>
  <c r="S31" i="1" s="1"/>
  <c r="T31" i="1" s="1"/>
  <c r="U31" i="1" s="1"/>
  <c r="V31" i="1" s="1"/>
  <c r="W31" i="1" s="1"/>
  <c r="X31" i="1" s="1"/>
  <c r="Y31" i="1" s="1"/>
  <c r="P34" i="1"/>
  <c r="Q33" i="1"/>
  <c r="R32" i="1" l="1"/>
  <c r="S32" i="1" s="1"/>
  <c r="T32" i="1" s="1"/>
  <c r="U32" i="1" s="1"/>
  <c r="V32" i="1" s="1"/>
  <c r="W32" i="1" s="1"/>
  <c r="X32" i="1" s="1"/>
  <c r="Y32" i="1" s="1"/>
  <c r="P35" i="1"/>
  <c r="Q34" i="1"/>
  <c r="R33" i="1" l="1"/>
  <c r="S33" i="1" s="1"/>
  <c r="T33" i="1" s="1"/>
  <c r="U33" i="1" s="1"/>
  <c r="V33" i="1" s="1"/>
  <c r="W33" i="1" s="1"/>
  <c r="X33" i="1" s="1"/>
  <c r="Y33" i="1" s="1"/>
  <c r="P36" i="1"/>
  <c r="Q35" i="1"/>
  <c r="R34" i="1" l="1"/>
  <c r="S34" i="1" s="1"/>
  <c r="T34" i="1" s="1"/>
  <c r="U34" i="1" s="1"/>
  <c r="V34" i="1" s="1"/>
  <c r="W34" i="1" s="1"/>
  <c r="X34" i="1" s="1"/>
  <c r="Y34" i="1" s="1"/>
  <c r="P37" i="1"/>
  <c r="Q36" i="1"/>
  <c r="R35" i="1" l="1"/>
  <c r="S35" i="1" s="1"/>
  <c r="T35" i="1" s="1"/>
  <c r="U35" i="1" s="1"/>
  <c r="V35" i="1" s="1"/>
  <c r="W35" i="1" s="1"/>
  <c r="X35" i="1" s="1"/>
  <c r="Y35" i="1" s="1"/>
  <c r="P38" i="1"/>
  <c r="Q37" i="1"/>
  <c r="R36" i="1" l="1"/>
  <c r="S36" i="1" s="1"/>
  <c r="T36" i="1" s="1"/>
  <c r="U36" i="1" s="1"/>
  <c r="V36" i="1" s="1"/>
  <c r="W36" i="1" s="1"/>
  <c r="X36" i="1" s="1"/>
  <c r="Y36" i="1" s="1"/>
  <c r="P39" i="1"/>
  <c r="Q38" i="1"/>
  <c r="R37" i="1" l="1"/>
  <c r="S37" i="1" s="1"/>
  <c r="T37" i="1" s="1"/>
  <c r="U37" i="1" s="1"/>
  <c r="V37" i="1" s="1"/>
  <c r="W37" i="1" s="1"/>
  <c r="X37" i="1" s="1"/>
  <c r="Y37" i="1" s="1"/>
  <c r="P40" i="1"/>
  <c r="Q39" i="1"/>
  <c r="R38" i="1" l="1"/>
  <c r="S38" i="1" s="1"/>
  <c r="T38" i="1" s="1"/>
  <c r="U38" i="1" s="1"/>
  <c r="V38" i="1" s="1"/>
  <c r="W38" i="1" s="1"/>
  <c r="X38" i="1" s="1"/>
  <c r="Y38" i="1" s="1"/>
  <c r="P41" i="1"/>
  <c r="Q40" i="1"/>
  <c r="R39" i="1" l="1"/>
  <c r="S39" i="1" s="1"/>
  <c r="T39" i="1" s="1"/>
  <c r="U39" i="1" s="1"/>
  <c r="V39" i="1" s="1"/>
  <c r="W39" i="1" s="1"/>
  <c r="X39" i="1" s="1"/>
  <c r="Y39" i="1" s="1"/>
  <c r="P42" i="1"/>
  <c r="Q41" i="1"/>
  <c r="R40" i="1" l="1"/>
  <c r="S40" i="1" s="1"/>
  <c r="T40" i="1" s="1"/>
  <c r="U40" i="1" s="1"/>
  <c r="V40" i="1" s="1"/>
  <c r="W40" i="1" s="1"/>
  <c r="X40" i="1" s="1"/>
  <c r="Y40" i="1" s="1"/>
  <c r="P43" i="1"/>
  <c r="Q42" i="1"/>
  <c r="R41" i="1" l="1"/>
  <c r="S41" i="1" s="1"/>
  <c r="T41" i="1" s="1"/>
  <c r="U41" i="1" s="1"/>
  <c r="V41" i="1" s="1"/>
  <c r="W41" i="1" s="1"/>
  <c r="X41" i="1" s="1"/>
  <c r="Y41" i="1" s="1"/>
  <c r="P44" i="1"/>
  <c r="Q43" i="1"/>
  <c r="R42" i="1" l="1"/>
  <c r="S42" i="1" s="1"/>
  <c r="T42" i="1" s="1"/>
  <c r="U42" i="1" s="1"/>
  <c r="V42" i="1" s="1"/>
  <c r="W42" i="1" s="1"/>
  <c r="X42" i="1" s="1"/>
  <c r="Y42" i="1" s="1"/>
  <c r="P45" i="1"/>
  <c r="Q44" i="1"/>
  <c r="R43" i="1" l="1"/>
  <c r="S43" i="1" s="1"/>
  <c r="T43" i="1" s="1"/>
  <c r="U43" i="1" s="1"/>
  <c r="V43" i="1" s="1"/>
  <c r="W43" i="1" s="1"/>
  <c r="X43" i="1" s="1"/>
  <c r="Y43" i="1" s="1"/>
  <c r="P46" i="1"/>
  <c r="Q45" i="1"/>
  <c r="R44" i="1" l="1"/>
  <c r="S44" i="1" s="1"/>
  <c r="T44" i="1" s="1"/>
  <c r="U44" i="1" s="1"/>
  <c r="V44" i="1" s="1"/>
  <c r="W44" i="1" s="1"/>
  <c r="X44" i="1" s="1"/>
  <c r="Y44" i="1" s="1"/>
  <c r="P47" i="1"/>
  <c r="Q46" i="1"/>
  <c r="R45" i="1" l="1"/>
  <c r="S45" i="1" s="1"/>
  <c r="T45" i="1" s="1"/>
  <c r="U45" i="1" s="1"/>
  <c r="V45" i="1" s="1"/>
  <c r="W45" i="1" s="1"/>
  <c r="X45" i="1" s="1"/>
  <c r="Y45" i="1" s="1"/>
  <c r="P48" i="1"/>
  <c r="Q47" i="1"/>
  <c r="R46" i="1" l="1"/>
  <c r="S46" i="1" s="1"/>
  <c r="T46" i="1" s="1"/>
  <c r="U46" i="1" s="1"/>
  <c r="V46" i="1" s="1"/>
  <c r="W46" i="1" s="1"/>
  <c r="X46" i="1" s="1"/>
  <c r="Y46" i="1" s="1"/>
  <c r="P49" i="1"/>
  <c r="Q48" i="1"/>
  <c r="R47" i="1" l="1"/>
  <c r="S47" i="1" s="1"/>
  <c r="T47" i="1" s="1"/>
  <c r="U47" i="1" s="1"/>
  <c r="V47" i="1" s="1"/>
  <c r="W47" i="1" s="1"/>
  <c r="X47" i="1" s="1"/>
  <c r="Y47" i="1" s="1"/>
  <c r="P50" i="1"/>
  <c r="Q49" i="1"/>
  <c r="R48" i="1" l="1"/>
  <c r="S48" i="1" s="1"/>
  <c r="T48" i="1" s="1"/>
  <c r="U48" i="1" s="1"/>
  <c r="V48" i="1" s="1"/>
  <c r="W48" i="1" s="1"/>
  <c r="X48" i="1" s="1"/>
  <c r="Y48" i="1" s="1"/>
  <c r="P51" i="1"/>
  <c r="Q50" i="1"/>
  <c r="R49" i="1" l="1"/>
  <c r="S49" i="1" s="1"/>
  <c r="T49" i="1" s="1"/>
  <c r="U49" i="1" s="1"/>
  <c r="V49" i="1" s="1"/>
  <c r="W49" i="1" s="1"/>
  <c r="X49" i="1" s="1"/>
  <c r="Y49" i="1" s="1"/>
  <c r="P52" i="1"/>
  <c r="Q51" i="1"/>
  <c r="R50" i="1" l="1"/>
  <c r="S50" i="1" s="1"/>
  <c r="T50" i="1" s="1"/>
  <c r="U50" i="1" s="1"/>
  <c r="V50" i="1" s="1"/>
  <c r="W50" i="1" s="1"/>
  <c r="X50" i="1" s="1"/>
  <c r="Y50" i="1" s="1"/>
  <c r="Q52" i="1"/>
  <c r="R51" i="1" l="1"/>
  <c r="S51" i="1" s="1"/>
  <c r="T51" i="1" s="1"/>
  <c r="U51" i="1" s="1"/>
  <c r="V51" i="1" s="1"/>
  <c r="W51" i="1" s="1"/>
  <c r="X51" i="1" s="1"/>
  <c r="Y51" i="1" s="1"/>
  <c r="R52" i="1" l="1"/>
  <c r="S52" i="1" s="1"/>
  <c r="T52" i="1" s="1"/>
  <c r="U52" i="1" s="1"/>
  <c r="V52" i="1" s="1"/>
  <c r="W52" i="1" s="1"/>
  <c r="X52" i="1" s="1"/>
  <c r="Y52" i="1" s="1"/>
  <c r="Y55" i="1" s="1"/>
</calcChain>
</file>

<file path=xl/sharedStrings.xml><?xml version="1.0" encoding="utf-8"?>
<sst xmlns="http://schemas.openxmlformats.org/spreadsheetml/2006/main" count="46" uniqueCount="30">
  <si>
    <t>Zadanie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</si>
  <si>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</si>
  <si>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</si>
  <si>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</si>
  <si>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</si>
  <si>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</si>
  <si>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</si>
  <si>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</si>
  <si>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</si>
  <si>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</si>
  <si>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</si>
  <si>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Suma=</t>
  </si>
  <si>
    <t>Dystrybuanta</t>
  </si>
  <si>
    <t>Nr Osobnika</t>
  </si>
  <si>
    <t>Suma</t>
  </si>
  <si>
    <t>suma calosci/suma zd</t>
  </si>
  <si>
    <t>Prawdopodobienstwo</t>
  </si>
  <si>
    <t>l. losowa</t>
  </si>
  <si>
    <t>Nr osobnika</t>
  </si>
  <si>
    <t xml:space="preserve">Potomek </t>
  </si>
  <si>
    <t>l.losowa</t>
  </si>
  <si>
    <t>Mutacja</t>
  </si>
  <si>
    <t>najlepszy</t>
  </si>
  <si>
    <t>min suma</t>
  </si>
  <si>
    <t xml:space="preserve">krzyzowka </t>
  </si>
  <si>
    <t xml:space="preserve">     </t>
  </si>
  <si>
    <t>Ruletka + PMX</t>
  </si>
  <si>
    <t>Turniej + op los  zuz</t>
  </si>
  <si>
    <t>Rodzic</t>
  </si>
  <si>
    <t>Posortowana suma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</si>
</sst>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1" xfId="0" applyFill="1" applyBorder="1"/>
    <xf numFmtId="0" fontId="0" fillId="3" borderId="0" xfId="0" applyFill="1"/>
    <xf numFmtId="0" fontId="0" fillId="4" borderId="0" xfId="0" applyFill="1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28575</xdr:colOff>
          <xdr:row>2</xdr:row>
          <xdr:rowOff>47625</xdr:rowOff>
        </xdr:from>
        <xdr:to>
          <xdr:col>28</xdr:col>
          <xdr:colOff>571500</xdr:colOff>
          <xdr:row>5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</a:rPr>
                <a:t>Ruletka + PMX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6</xdr:row>
          <xdr:rowOff>152400</xdr:rowOff>
        </xdr:from>
        <xdr:to>
          <xdr:col>28</xdr:col>
          <xdr:colOff>581025</xdr:colOff>
          <xdr:row>10</xdr:row>
          <xdr:rowOff>19050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</a:rPr>
                <a:t>Turniej + op los z uzup.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BD504"/>
  <sheetViews>
    <sheetView tabSelected="1" topLeftCell="AE1" workbookViewId="0">
      <selection activeCell="AN33" sqref="AN33"/>
    </sheetView>
  </sheetViews>
  <sheetFormatPr defaultRowHeight="15" x14ac:dyDescent="0.25"/>
  <cols>
    <col min="34" max="34" width="11.85546875" bestFit="1" customWidth="1"/>
    <col min="36" max="36" width="20.28515625" bestFit="1" customWidth="1"/>
    <col min="44" max="44" width="11.5703125" bestFit="1" customWidth="1"/>
    <col min="46" max="46" width="9.140625" style="2"/>
    <col min="50" max="50" width="9.140625" style="2"/>
    <col min="51" max="51" width="18" bestFit="1" customWidth="1"/>
    <col min="52" max="52" width="12.5703125" customWidth="1"/>
  </cols>
  <sheetData>
    <row r="1" spans="1:56" x14ac:dyDescent="0.25">
      <c r="AL1" t="s">
        <v>12</v>
      </c>
      <c r="AR1" s="6" t="s">
        <v>28</v>
      </c>
      <c r="AS1" s="7"/>
      <c r="AT1" s="1"/>
      <c r="AU1" s="5" t="s">
        <v>24</v>
      </c>
      <c r="AV1" s="6"/>
      <c r="AW1" s="7"/>
      <c r="AX1" s="1"/>
      <c r="BA1" s="6" t="s">
        <v>26</v>
      </c>
      <c r="BB1" s="6"/>
      <c r="BC1" s="6" t="s">
        <v>27</v>
      </c>
      <c r="BD1" s="6"/>
    </row>
    <row r="2" spans="1:56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O2" t="s">
        <v>0</v>
      </c>
      <c r="P2" t="s">
        <v>1</v>
      </c>
      <c r="Q2" t="s">
        <v>2</v>
      </c>
      <c r="R2" t="s">
        <v>3</v>
      </c>
      <c r="S2" t="s">
        <v>4</v>
      </c>
      <c r="T2" t="s">
        <v>5</v>
      </c>
      <c r="U2" t="s">
        <v>6</v>
      </c>
      <c r="V2" t="s">
        <v>7</v>
      </c>
      <c r="W2" t="s">
        <v>8</v>
      </c>
      <c r="X2" t="s">
        <v>9</v>
      </c>
      <c r="Y2" t="s">
        <v>10</v>
      </c>
      <c r="AH2" t="s">
        <v>13</v>
      </c>
      <c r="AI2" t="s">
        <v>14</v>
      </c>
      <c r="AJ2" t="s">
        <v>15</v>
      </c>
      <c r="AK2" t="s">
        <v>16</v>
      </c>
      <c r="AL2">
        <f>0</f>
        <v>0</v>
      </c>
      <c r="AQ2" t="s">
        <v>17</v>
      </c>
      <c r="AR2" t="s">
        <v>18</v>
      </c>
      <c r="AS2" t="s">
        <v>14</v>
      </c>
      <c r="AT2" s="1" t="s">
        <v>19</v>
      </c>
      <c r="AU2" t="s">
        <v>14</v>
      </c>
      <c r="AV2" t="s">
        <v>20</v>
      </c>
      <c r="AW2" t="s">
        <v>21</v>
      </c>
      <c r="AX2" s="1" t="s">
        <v>19</v>
      </c>
      <c r="AY2" t="s">
        <v>29</v>
      </c>
      <c r="BA2" t="s">
        <v>22</v>
      </c>
      <c r="BB2" t="s">
        <v>23</v>
      </c>
      <c r="BC2" t="s">
        <v>22</v>
      </c>
      <c r="BD2" t="s">
        <v>23</v>
      </c>
    </row>
    <row r="3" spans="1:56" x14ac:dyDescent="0.25">
      <c r="A3">
        <v>1</v>
      </c>
      <c r="B3">
        <v>8</v>
      </c>
      <c r="C3">
        <v>97</v>
      </c>
      <c r="D3">
        <v>14</v>
      </c>
      <c r="E3">
        <v>74</v>
      </c>
      <c r="F3">
        <v>75</v>
      </c>
      <c r="G3">
        <v>27</v>
      </c>
      <c r="H3">
        <v>69</v>
      </c>
      <c r="I3">
        <v>65</v>
      </c>
      <c r="J3">
        <v>89</v>
      </c>
      <c r="K3">
        <v>83</v>
      </c>
      <c r="O3">
        <v>1</v>
      </c>
      <c r="P3">
        <f>VLOOKUP($O3,$A$3:$K$69,2,FALSE)</f>
        <v>8</v>
      </c>
      <c r="Q3">
        <f>P$3+VLOOKUP($O$3,$A$3:$K$69,3,FALSE)</f>
        <v>105</v>
      </c>
      <c r="R3">
        <f>Q$3+VLOOKUP($O$3,$A$3:$K$69,4,FALSE)</f>
        <v>119</v>
      </c>
      <c r="S3">
        <f>R$3+VLOOKUP($O$3,$A$3:$K$69,5,FALSE)</f>
        <v>193</v>
      </c>
      <c r="T3">
        <f>S$3+VLOOKUP($O$3,$A$3:$K$69,6,FALSE)</f>
        <v>268</v>
      </c>
      <c r="U3">
        <f>T$3+VLOOKUP($O$3,$A$3:$K$69,7,FALSE)</f>
        <v>295</v>
      </c>
      <c r="V3">
        <f>U$3+VLOOKUP($O$3,$A$3:$K$69,8,FALSE)</f>
        <v>364</v>
      </c>
      <c r="W3">
        <f>V$3+VLOOKUP($O$3,$A$3:$K$69,9,FALSE)</f>
        <v>429</v>
      </c>
      <c r="X3">
        <f>W$3+VLOOKUP($O$3,$A$3:$K$69,10,FALSE)</f>
        <v>518</v>
      </c>
      <c r="Y3">
        <f>X$3+VLOOKUP($O$3,$A$3:$K$69,11,FALSE)</f>
        <v>601</v>
      </c>
      <c r="AH3">
        <v>1</v>
      </c>
      <c r="AI3">
        <v>3777</v>
      </c>
      <c r="AJ3">
        <f>$AI$504/AI3</f>
        <v>507.76224516812283</v>
      </c>
      <c r="AK3">
        <f>AJ3/$AJ$504</f>
        <v>2.0295375807723964E-3</v>
      </c>
      <c r="AL3">
        <f>AK3+AL2</f>
        <v>2.0295375807723964E-3</v>
      </c>
      <c r="AQ3">
        <v>0.68870586</v>
      </c>
      <c r="AR3">
        <v>244</v>
      </c>
      <c r="AS3">
        <v>3611</v>
      </c>
      <c r="AT3" s="2">
        <v>1</v>
      </c>
      <c r="AU3">
        <v>3708</v>
      </c>
      <c r="AV3" s="3">
        <v>0.85637516000000002</v>
      </c>
      <c r="AW3">
        <v>3708</v>
      </c>
      <c r="AX3" s="2">
        <v>161</v>
      </c>
      <c r="AY3">
        <v>3515</v>
      </c>
      <c r="BA3">
        <v>40</v>
      </c>
      <c r="BB3">
        <v>3569</v>
      </c>
      <c r="BC3">
        <v>1</v>
      </c>
      <c r="BD3">
        <v>3515</v>
      </c>
    </row>
    <row r="4" spans="1:56" x14ac:dyDescent="0.25">
      <c r="A4">
        <v>2</v>
      </c>
      <c r="B4">
        <v>77</v>
      </c>
      <c r="C4">
        <v>49</v>
      </c>
      <c r="D4">
        <v>17</v>
      </c>
      <c r="E4">
        <v>29</v>
      </c>
      <c r="F4">
        <v>43</v>
      </c>
      <c r="G4">
        <v>98</v>
      </c>
      <c r="H4">
        <v>28</v>
      </c>
      <c r="I4">
        <v>21</v>
      </c>
      <c r="J4">
        <v>41</v>
      </c>
      <c r="K4">
        <v>3</v>
      </c>
      <c r="O4">
        <v>2</v>
      </c>
      <c r="P4">
        <f>P3+VLOOKUP($O4,$A$3:$K$69,2,FALSE)</f>
        <v>85</v>
      </c>
      <c r="Q4">
        <f>MAX(P4,Q3)+VLOOKUP($O4,$A$3:$K$69,3, FALSE)</f>
        <v>154</v>
      </c>
      <c r="R4">
        <f>MAX(Q4,R3)+VLOOKUP($O4,$A$3:$K$69,4, FALSE)</f>
        <v>171</v>
      </c>
      <c r="S4">
        <f>MAX(R4,S3)+VLOOKUP($O4,$A$3:$K$69,5, FALSE)</f>
        <v>222</v>
      </c>
      <c r="T4">
        <f>MAX(S4,T3)+VLOOKUP($O4,$A$3:$K$69,6, FALSE)</f>
        <v>311</v>
      </c>
      <c r="U4">
        <f>MAX(T4,U3)+VLOOKUP($O4,$A$3:$K$69,7, FALSE)</f>
        <v>409</v>
      </c>
      <c r="V4">
        <f>MAX(U4,V3)+VLOOKUP($O4,$A$3:$K$69,8, FALSE)</f>
        <v>437</v>
      </c>
      <c r="W4">
        <f>MAX(V4,W3)+VLOOKUP($O4,$A$3:$K$69,9, FALSE)</f>
        <v>458</v>
      </c>
      <c r="X4">
        <f>MAX(W4,X3)+VLOOKUP($O4,$A$3:$K$69,10, FALSE)</f>
        <v>559</v>
      </c>
      <c r="Y4">
        <f>MAX(X4,Y3)+VLOOKUP($O4,$A$3:$K$69,11, FALSE)</f>
        <v>604</v>
      </c>
      <c r="AH4">
        <v>2</v>
      </c>
      <c r="AI4">
        <v>3717</v>
      </c>
      <c r="AJ4">
        <f t="shared" ref="AJ4:AJ67" si="0">$AI$504/AI4</f>
        <v>515.9585687382297</v>
      </c>
      <c r="AK4">
        <f t="shared" ref="AK4:AK67" si="1">AJ4/$AJ$504</f>
        <v>2.0622984779600055E-3</v>
      </c>
      <c r="AL4">
        <f t="shared" ref="AL4:AL67" si="2">AK4+AL3</f>
        <v>4.0918360587324024E-3</v>
      </c>
      <c r="AQ4">
        <v>0.60763060999999996</v>
      </c>
      <c r="AR4">
        <v>437</v>
      </c>
      <c r="AS4">
        <v>3744</v>
      </c>
      <c r="AT4" s="2">
        <v>2</v>
      </c>
      <c r="AU4">
        <v>3663</v>
      </c>
      <c r="AV4" s="3">
        <v>0.76673210000000003</v>
      </c>
      <c r="AW4">
        <v>3663</v>
      </c>
      <c r="AX4" s="2">
        <v>296</v>
      </c>
      <c r="AY4">
        <v>3568</v>
      </c>
      <c r="BA4">
        <v>20</v>
      </c>
      <c r="BC4">
        <v>49</v>
      </c>
    </row>
    <row r="5" spans="1:56" x14ac:dyDescent="0.25">
      <c r="A5">
        <v>3</v>
      </c>
      <c r="B5">
        <v>73</v>
      </c>
      <c r="C5">
        <v>33</v>
      </c>
      <c r="D5">
        <v>31</v>
      </c>
      <c r="E5">
        <v>77</v>
      </c>
      <c r="F5">
        <v>70</v>
      </c>
      <c r="G5">
        <v>62</v>
      </c>
      <c r="H5">
        <v>95</v>
      </c>
      <c r="I5">
        <v>60</v>
      </c>
      <c r="J5">
        <v>16</v>
      </c>
      <c r="K5">
        <v>99</v>
      </c>
      <c r="O5">
        <v>3</v>
      </c>
      <c r="P5">
        <f>P4+VLOOKUP($O5,$A$3:$K$69,2,FALSE)</f>
        <v>158</v>
      </c>
      <c r="Q5">
        <f t="shared" ref="Q5:Q52" si="3">MAX(P5,Q4)+VLOOKUP($O5,$A$3:$K$69,3, FALSE)</f>
        <v>191</v>
      </c>
      <c r="R5">
        <f t="shared" ref="R5:R52" si="4">MAX(Q5,R4)+VLOOKUP($O5,$A$3:$K$69,4, FALSE)</f>
        <v>222</v>
      </c>
      <c r="S5">
        <f t="shared" ref="S5:S52" si="5">MAX(R5,S4)+VLOOKUP($O5,$A$3:$K$69,5, FALSE)</f>
        <v>299</v>
      </c>
      <c r="T5">
        <f t="shared" ref="T5:T52" si="6">MAX(S5,T4)+VLOOKUP($O5,$A$3:$K$69,6, FALSE)</f>
        <v>381</v>
      </c>
      <c r="U5">
        <f t="shared" ref="U5:U52" si="7">MAX(T5,U4)+VLOOKUP($O5,$A$3:$K$69,7, FALSE)</f>
        <v>471</v>
      </c>
      <c r="V5">
        <f t="shared" ref="V5:V52" si="8">MAX(U5,V4)+VLOOKUP($O5,$A$3:$K$69,8, FALSE)</f>
        <v>566</v>
      </c>
      <c r="W5">
        <f t="shared" ref="W5:W52" si="9">MAX(V5,W4)+VLOOKUP($O5,$A$3:$K$69,9, FALSE)</f>
        <v>626</v>
      </c>
      <c r="X5">
        <f t="shared" ref="X5:X52" si="10">MAX(W5,X4)+VLOOKUP($O5,$A$3:$K$69,10, FALSE)</f>
        <v>642</v>
      </c>
      <c r="Y5">
        <f t="shared" ref="Y5:Y52" si="11">MAX(X5,Y4)+VLOOKUP($O5,$A$3:$K$69,11, FALSE)</f>
        <v>741</v>
      </c>
      <c r="AH5">
        <v>3</v>
      </c>
      <c r="AI5">
        <v>3930</v>
      </c>
      <c r="AJ5">
        <f t="shared" si="0"/>
        <v>487.99440203562341</v>
      </c>
      <c r="AK5">
        <f t="shared" si="1"/>
        <v>1.9505250490018681E-3</v>
      </c>
      <c r="AL5">
        <f t="shared" si="2"/>
        <v>6.0423611077342707E-3</v>
      </c>
      <c r="AQ5">
        <v>0.53585391999999998</v>
      </c>
      <c r="AR5">
        <v>432</v>
      </c>
      <c r="AS5">
        <v>3614</v>
      </c>
      <c r="AT5" s="2">
        <v>3</v>
      </c>
      <c r="AU5">
        <v>3683</v>
      </c>
      <c r="AV5" s="3">
        <v>7.2221339999999995E-2</v>
      </c>
      <c r="AW5">
        <v>3683</v>
      </c>
      <c r="AX5" s="2">
        <v>401</v>
      </c>
      <c r="AY5">
        <v>3577</v>
      </c>
      <c r="BA5">
        <v>42</v>
      </c>
      <c r="BC5">
        <v>34</v>
      </c>
    </row>
    <row r="6" spans="1:56" x14ac:dyDescent="0.25">
      <c r="A6">
        <v>4</v>
      </c>
      <c r="B6">
        <v>91</v>
      </c>
      <c r="C6">
        <v>48</v>
      </c>
      <c r="D6">
        <v>37</v>
      </c>
      <c r="E6">
        <v>14</v>
      </c>
      <c r="F6">
        <v>11</v>
      </c>
      <c r="G6">
        <v>17</v>
      </c>
      <c r="H6">
        <v>38</v>
      </c>
      <c r="I6">
        <v>72</v>
      </c>
      <c r="J6">
        <v>7</v>
      </c>
      <c r="K6">
        <v>87</v>
      </c>
      <c r="O6">
        <v>4</v>
      </c>
      <c r="P6">
        <f t="shared" ref="P6:P52" si="12">P5+VLOOKUP($O6,$A$3:$K$69,2,FALSE)</f>
        <v>249</v>
      </c>
      <c r="Q6">
        <f t="shared" si="3"/>
        <v>297</v>
      </c>
      <c r="R6">
        <f t="shared" si="4"/>
        <v>334</v>
      </c>
      <c r="S6">
        <f t="shared" si="5"/>
        <v>348</v>
      </c>
      <c r="T6">
        <f t="shared" si="6"/>
        <v>392</v>
      </c>
      <c r="U6">
        <f t="shared" si="7"/>
        <v>488</v>
      </c>
      <c r="V6">
        <f t="shared" si="8"/>
        <v>604</v>
      </c>
      <c r="W6">
        <f t="shared" si="9"/>
        <v>698</v>
      </c>
      <c r="X6">
        <f t="shared" si="10"/>
        <v>705</v>
      </c>
      <c r="Y6">
        <f t="shared" si="11"/>
        <v>828</v>
      </c>
      <c r="AH6">
        <v>4</v>
      </c>
      <c r="AI6">
        <v>3951</v>
      </c>
      <c r="AJ6">
        <f t="shared" si="0"/>
        <v>485.40065806125034</v>
      </c>
      <c r="AK6">
        <f t="shared" si="1"/>
        <v>1.9401577936161332E-3</v>
      </c>
      <c r="AL6">
        <f t="shared" si="2"/>
        <v>7.9825189013504032E-3</v>
      </c>
      <c r="AQ6">
        <v>0.13369131000000001</v>
      </c>
      <c r="AR6">
        <v>124</v>
      </c>
      <c r="AS6">
        <v>3746</v>
      </c>
      <c r="AT6" s="2">
        <v>4</v>
      </c>
      <c r="AU6">
        <v>3779</v>
      </c>
      <c r="AV6" s="3">
        <v>0.48357344000000002</v>
      </c>
      <c r="AW6">
        <v>3779</v>
      </c>
      <c r="AX6" s="2">
        <v>473</v>
      </c>
      <c r="AY6">
        <v>3578</v>
      </c>
      <c r="BA6">
        <v>49</v>
      </c>
      <c r="BC6">
        <v>44</v>
      </c>
    </row>
    <row r="7" spans="1:56" x14ac:dyDescent="0.25">
      <c r="A7">
        <v>5</v>
      </c>
      <c r="B7">
        <v>96</v>
      </c>
      <c r="C7">
        <v>68</v>
      </c>
      <c r="D7">
        <v>85</v>
      </c>
      <c r="E7">
        <v>30</v>
      </c>
      <c r="F7">
        <v>64</v>
      </c>
      <c r="G7">
        <v>35</v>
      </c>
      <c r="H7">
        <v>89</v>
      </c>
      <c r="I7">
        <v>4</v>
      </c>
      <c r="J7">
        <v>84</v>
      </c>
      <c r="K7">
        <v>60</v>
      </c>
      <c r="O7">
        <v>5</v>
      </c>
      <c r="P7">
        <f t="shared" si="12"/>
        <v>345</v>
      </c>
      <c r="Q7">
        <f t="shared" si="3"/>
        <v>413</v>
      </c>
      <c r="R7">
        <f t="shared" si="4"/>
        <v>498</v>
      </c>
      <c r="S7">
        <f t="shared" si="5"/>
        <v>528</v>
      </c>
      <c r="T7">
        <f t="shared" si="6"/>
        <v>592</v>
      </c>
      <c r="U7">
        <f t="shared" si="7"/>
        <v>627</v>
      </c>
      <c r="V7">
        <f t="shared" si="8"/>
        <v>716</v>
      </c>
      <c r="W7">
        <f t="shared" si="9"/>
        <v>720</v>
      </c>
      <c r="X7">
        <f t="shared" si="10"/>
        <v>804</v>
      </c>
      <c r="Y7">
        <f t="shared" si="11"/>
        <v>888</v>
      </c>
      <c r="AH7">
        <v>5</v>
      </c>
      <c r="AI7">
        <v>3804</v>
      </c>
      <c r="AJ7">
        <f t="shared" si="0"/>
        <v>504.15825446898003</v>
      </c>
      <c r="AK7">
        <f t="shared" si="1"/>
        <v>2.0151323455776396E-3</v>
      </c>
      <c r="AL7">
        <f t="shared" si="2"/>
        <v>9.9976512469280437E-3</v>
      </c>
      <c r="AQ7">
        <v>0.88015717000000004</v>
      </c>
      <c r="AR7">
        <v>219</v>
      </c>
      <c r="AS7">
        <v>3868</v>
      </c>
      <c r="AT7" s="2">
        <v>5</v>
      </c>
      <c r="AU7">
        <v>4098</v>
      </c>
      <c r="AV7" s="3">
        <v>0.95355767000000002</v>
      </c>
      <c r="AW7">
        <v>4098</v>
      </c>
      <c r="AX7" s="2">
        <v>379</v>
      </c>
      <c r="AY7">
        <v>3582</v>
      </c>
      <c r="BA7">
        <v>13</v>
      </c>
      <c r="BC7">
        <v>9</v>
      </c>
    </row>
    <row r="8" spans="1:56" x14ac:dyDescent="0.25">
      <c r="A8">
        <v>6</v>
      </c>
      <c r="B8">
        <v>10</v>
      </c>
      <c r="C8">
        <v>36</v>
      </c>
      <c r="D8">
        <v>84</v>
      </c>
      <c r="E8">
        <v>14</v>
      </c>
      <c r="F8">
        <v>88</v>
      </c>
      <c r="G8">
        <v>71</v>
      </c>
      <c r="H8">
        <v>19</v>
      </c>
      <c r="I8">
        <v>85</v>
      </c>
      <c r="J8">
        <v>53</v>
      </c>
      <c r="K8">
        <v>92</v>
      </c>
      <c r="O8">
        <v>6</v>
      </c>
      <c r="P8">
        <f t="shared" si="12"/>
        <v>355</v>
      </c>
      <c r="Q8">
        <f t="shared" si="3"/>
        <v>449</v>
      </c>
      <c r="R8">
        <f t="shared" si="4"/>
        <v>582</v>
      </c>
      <c r="S8">
        <f t="shared" si="5"/>
        <v>596</v>
      </c>
      <c r="T8">
        <f t="shared" si="6"/>
        <v>684</v>
      </c>
      <c r="U8">
        <f t="shared" si="7"/>
        <v>755</v>
      </c>
      <c r="V8">
        <f t="shared" si="8"/>
        <v>774</v>
      </c>
      <c r="W8">
        <f t="shared" si="9"/>
        <v>859</v>
      </c>
      <c r="X8">
        <f t="shared" si="10"/>
        <v>912</v>
      </c>
      <c r="Y8">
        <f t="shared" si="11"/>
        <v>1004</v>
      </c>
      <c r="AH8">
        <v>6</v>
      </c>
      <c r="AI8">
        <v>3608</v>
      </c>
      <c r="AJ8">
        <f t="shared" si="0"/>
        <v>531.54600886917956</v>
      </c>
      <c r="AK8">
        <f t="shared" si="1"/>
        <v>2.1246018410691079E-3</v>
      </c>
      <c r="AL8">
        <f t="shared" si="2"/>
        <v>1.2122253087997151E-2</v>
      </c>
      <c r="AQ8">
        <v>0.95832550999999999</v>
      </c>
      <c r="AR8">
        <v>204</v>
      </c>
      <c r="AS8">
        <v>3802</v>
      </c>
      <c r="AT8" s="2">
        <v>6</v>
      </c>
      <c r="AU8">
        <v>3785</v>
      </c>
      <c r="AV8" s="3">
        <v>0.36898339000000002</v>
      </c>
      <c r="AW8">
        <v>3785</v>
      </c>
      <c r="AX8" s="2">
        <v>350</v>
      </c>
      <c r="AY8">
        <v>3591</v>
      </c>
      <c r="BA8">
        <v>24</v>
      </c>
      <c r="BC8">
        <v>16</v>
      </c>
    </row>
    <row r="9" spans="1:56" x14ac:dyDescent="0.25">
      <c r="A9">
        <v>7</v>
      </c>
      <c r="B9">
        <v>58</v>
      </c>
      <c r="C9">
        <v>66</v>
      </c>
      <c r="D9">
        <v>7</v>
      </c>
      <c r="E9">
        <v>48</v>
      </c>
      <c r="F9">
        <v>94</v>
      </c>
      <c r="G9">
        <v>94</v>
      </c>
      <c r="H9">
        <v>6</v>
      </c>
      <c r="I9">
        <v>47</v>
      </c>
      <c r="J9">
        <v>56</v>
      </c>
      <c r="K9">
        <v>75</v>
      </c>
      <c r="O9">
        <v>7</v>
      </c>
      <c r="P9">
        <f t="shared" si="12"/>
        <v>413</v>
      </c>
      <c r="Q9">
        <f t="shared" si="3"/>
        <v>515</v>
      </c>
      <c r="R9">
        <f t="shared" si="4"/>
        <v>589</v>
      </c>
      <c r="S9">
        <f t="shared" si="5"/>
        <v>644</v>
      </c>
      <c r="T9">
        <f t="shared" si="6"/>
        <v>778</v>
      </c>
      <c r="U9">
        <f t="shared" si="7"/>
        <v>872</v>
      </c>
      <c r="V9">
        <f t="shared" si="8"/>
        <v>878</v>
      </c>
      <c r="W9">
        <f t="shared" si="9"/>
        <v>925</v>
      </c>
      <c r="X9">
        <f t="shared" si="10"/>
        <v>981</v>
      </c>
      <c r="Y9">
        <f t="shared" si="11"/>
        <v>1079</v>
      </c>
      <c r="AH9">
        <v>7</v>
      </c>
      <c r="AI9">
        <v>3799</v>
      </c>
      <c r="AJ9">
        <f t="shared" si="0"/>
        <v>504.82179520926559</v>
      </c>
      <c r="AK9">
        <f t="shared" si="1"/>
        <v>2.0177845334502084E-3</v>
      </c>
      <c r="AL9">
        <f t="shared" si="2"/>
        <v>1.414003762144736E-2</v>
      </c>
      <c r="AQ9">
        <v>0.95862274999999997</v>
      </c>
      <c r="AR9">
        <v>244</v>
      </c>
      <c r="AS9">
        <v>3611</v>
      </c>
      <c r="AT9" s="2">
        <v>7</v>
      </c>
      <c r="AU9">
        <v>3944</v>
      </c>
      <c r="AV9" s="3">
        <v>0.83407098000000002</v>
      </c>
      <c r="AW9">
        <v>3944</v>
      </c>
      <c r="AX9" s="2">
        <v>85</v>
      </c>
      <c r="AY9">
        <v>3601</v>
      </c>
      <c r="BA9">
        <v>11</v>
      </c>
      <c r="BC9">
        <v>43</v>
      </c>
    </row>
    <row r="10" spans="1:56" x14ac:dyDescent="0.25">
      <c r="A10">
        <v>8</v>
      </c>
      <c r="B10">
        <v>70</v>
      </c>
      <c r="C10">
        <v>6</v>
      </c>
      <c r="D10">
        <v>54</v>
      </c>
      <c r="E10">
        <v>1</v>
      </c>
      <c r="F10">
        <v>9</v>
      </c>
      <c r="G10">
        <v>58</v>
      </c>
      <c r="H10">
        <v>52</v>
      </c>
      <c r="I10">
        <v>80</v>
      </c>
      <c r="J10">
        <v>71</v>
      </c>
      <c r="K10">
        <v>53</v>
      </c>
      <c r="O10">
        <v>8</v>
      </c>
      <c r="P10">
        <f t="shared" si="12"/>
        <v>483</v>
      </c>
      <c r="Q10">
        <f t="shared" si="3"/>
        <v>521</v>
      </c>
      <c r="R10">
        <f t="shared" si="4"/>
        <v>643</v>
      </c>
      <c r="S10">
        <f t="shared" si="5"/>
        <v>645</v>
      </c>
      <c r="T10">
        <f t="shared" si="6"/>
        <v>787</v>
      </c>
      <c r="U10">
        <f t="shared" si="7"/>
        <v>930</v>
      </c>
      <c r="V10">
        <f t="shared" si="8"/>
        <v>982</v>
      </c>
      <c r="W10">
        <f t="shared" si="9"/>
        <v>1062</v>
      </c>
      <c r="X10">
        <f t="shared" si="10"/>
        <v>1133</v>
      </c>
      <c r="Y10">
        <f t="shared" si="11"/>
        <v>1186</v>
      </c>
      <c r="AH10">
        <v>8</v>
      </c>
      <c r="AI10">
        <v>3912</v>
      </c>
      <c r="AJ10">
        <f t="shared" si="0"/>
        <v>490.23977505112475</v>
      </c>
      <c r="AK10">
        <f t="shared" si="1"/>
        <v>1.9594998575095455E-3</v>
      </c>
      <c r="AL10">
        <f t="shared" si="2"/>
        <v>1.6099537478956906E-2</v>
      </c>
      <c r="AQ10">
        <v>0.69082427000000002</v>
      </c>
      <c r="AR10">
        <v>254</v>
      </c>
      <c r="AS10">
        <v>3944</v>
      </c>
      <c r="AT10" s="2">
        <v>8</v>
      </c>
      <c r="AU10">
        <v>4012</v>
      </c>
      <c r="AV10" s="3">
        <v>0.74221395999999995</v>
      </c>
      <c r="AW10">
        <v>4012</v>
      </c>
      <c r="AX10" s="2">
        <v>437</v>
      </c>
      <c r="AY10">
        <v>3605</v>
      </c>
      <c r="BA10">
        <v>39</v>
      </c>
      <c r="BC10">
        <v>29</v>
      </c>
    </row>
    <row r="11" spans="1:56" x14ac:dyDescent="0.25">
      <c r="A11">
        <v>9</v>
      </c>
      <c r="B11">
        <v>42</v>
      </c>
      <c r="C11">
        <v>54</v>
      </c>
      <c r="D11">
        <v>40</v>
      </c>
      <c r="E11">
        <v>4</v>
      </c>
      <c r="F11">
        <v>29</v>
      </c>
      <c r="G11">
        <v>77</v>
      </c>
      <c r="H11">
        <v>70</v>
      </c>
      <c r="I11">
        <v>71</v>
      </c>
      <c r="J11">
        <v>40</v>
      </c>
      <c r="K11">
        <v>30</v>
      </c>
      <c r="O11">
        <v>9</v>
      </c>
      <c r="P11">
        <f t="shared" si="12"/>
        <v>525</v>
      </c>
      <c r="Q11">
        <f t="shared" si="3"/>
        <v>579</v>
      </c>
      <c r="R11">
        <f t="shared" si="4"/>
        <v>683</v>
      </c>
      <c r="S11">
        <f t="shared" si="5"/>
        <v>687</v>
      </c>
      <c r="T11">
        <f t="shared" si="6"/>
        <v>816</v>
      </c>
      <c r="U11">
        <f t="shared" si="7"/>
        <v>1007</v>
      </c>
      <c r="V11">
        <f t="shared" si="8"/>
        <v>1077</v>
      </c>
      <c r="W11">
        <f t="shared" si="9"/>
        <v>1148</v>
      </c>
      <c r="X11">
        <f t="shared" si="10"/>
        <v>1188</v>
      </c>
      <c r="Y11">
        <f t="shared" si="11"/>
        <v>1218</v>
      </c>
      <c r="AH11">
        <v>9</v>
      </c>
      <c r="AI11">
        <v>3604</v>
      </c>
      <c r="AJ11">
        <f t="shared" si="0"/>
        <v>532.13596004439512</v>
      </c>
      <c r="AK11">
        <f t="shared" si="1"/>
        <v>2.1269598897273425E-3</v>
      </c>
      <c r="AL11">
        <f t="shared" si="2"/>
        <v>1.8226497368684248E-2</v>
      </c>
      <c r="AQ11">
        <v>0.98243994000000001</v>
      </c>
      <c r="AR11">
        <v>312</v>
      </c>
      <c r="AS11">
        <v>3864</v>
      </c>
      <c r="AT11" s="2">
        <v>9</v>
      </c>
      <c r="AU11">
        <v>3864</v>
      </c>
      <c r="AV11" s="3">
        <v>0.79506772999999997</v>
      </c>
      <c r="AW11">
        <v>3864</v>
      </c>
      <c r="AX11" s="2">
        <v>356</v>
      </c>
      <c r="AY11">
        <v>3605</v>
      </c>
      <c r="BA11">
        <v>17</v>
      </c>
      <c r="BC11">
        <v>40</v>
      </c>
    </row>
    <row r="12" spans="1:56" x14ac:dyDescent="0.25">
      <c r="A12">
        <v>10</v>
      </c>
      <c r="B12">
        <v>21</v>
      </c>
      <c r="C12">
        <v>16</v>
      </c>
      <c r="D12">
        <v>95</v>
      </c>
      <c r="E12">
        <v>71</v>
      </c>
      <c r="F12">
        <v>58</v>
      </c>
      <c r="G12">
        <v>29</v>
      </c>
      <c r="H12">
        <v>4</v>
      </c>
      <c r="I12">
        <v>26</v>
      </c>
      <c r="J12">
        <v>17</v>
      </c>
      <c r="K12">
        <v>59</v>
      </c>
      <c r="O12">
        <v>10</v>
      </c>
      <c r="P12">
        <f t="shared" si="12"/>
        <v>546</v>
      </c>
      <c r="Q12">
        <f t="shared" si="3"/>
        <v>595</v>
      </c>
      <c r="R12">
        <f t="shared" si="4"/>
        <v>778</v>
      </c>
      <c r="S12">
        <f t="shared" si="5"/>
        <v>849</v>
      </c>
      <c r="T12">
        <f t="shared" si="6"/>
        <v>907</v>
      </c>
      <c r="U12">
        <f t="shared" si="7"/>
        <v>1036</v>
      </c>
      <c r="V12">
        <f t="shared" si="8"/>
        <v>1081</v>
      </c>
      <c r="W12">
        <f t="shared" si="9"/>
        <v>1174</v>
      </c>
      <c r="X12">
        <f t="shared" si="10"/>
        <v>1205</v>
      </c>
      <c r="Y12">
        <f t="shared" si="11"/>
        <v>1277</v>
      </c>
      <c r="AH12">
        <v>10</v>
      </c>
      <c r="AI12">
        <v>3903</v>
      </c>
      <c r="AJ12">
        <f t="shared" si="0"/>
        <v>491.37022802972075</v>
      </c>
      <c r="AK12">
        <f t="shared" si="1"/>
        <v>1.964018304529168E-3</v>
      </c>
      <c r="AL12">
        <f t="shared" si="2"/>
        <v>2.0190515673213415E-2</v>
      </c>
      <c r="AQ12">
        <v>0.58043230000000001</v>
      </c>
      <c r="AR12">
        <v>160</v>
      </c>
      <c r="AS12">
        <v>3761</v>
      </c>
      <c r="AT12" s="2">
        <v>10</v>
      </c>
      <c r="AU12">
        <v>3761</v>
      </c>
      <c r="AV12" s="3">
        <v>0.24215829</v>
      </c>
      <c r="AW12">
        <v>3761</v>
      </c>
      <c r="AX12" s="2">
        <v>369</v>
      </c>
      <c r="AY12">
        <v>3614</v>
      </c>
      <c r="BA12">
        <v>9</v>
      </c>
      <c r="BC12">
        <v>17</v>
      </c>
    </row>
    <row r="13" spans="1:56" x14ac:dyDescent="0.25">
      <c r="A13">
        <v>11</v>
      </c>
      <c r="B13">
        <v>11</v>
      </c>
      <c r="C13">
        <v>7</v>
      </c>
      <c r="D13">
        <v>97</v>
      </c>
      <c r="E13">
        <v>54</v>
      </c>
      <c r="F13">
        <v>90</v>
      </c>
      <c r="G13">
        <v>61</v>
      </c>
      <c r="H13">
        <v>81</v>
      </c>
      <c r="I13">
        <v>73</v>
      </c>
      <c r="J13">
        <v>33</v>
      </c>
      <c r="K13">
        <v>95</v>
      </c>
      <c r="O13">
        <v>11</v>
      </c>
      <c r="P13">
        <f t="shared" si="12"/>
        <v>557</v>
      </c>
      <c r="Q13">
        <f t="shared" si="3"/>
        <v>602</v>
      </c>
      <c r="R13">
        <f t="shared" si="4"/>
        <v>875</v>
      </c>
      <c r="S13">
        <f t="shared" si="5"/>
        <v>929</v>
      </c>
      <c r="T13">
        <f t="shared" si="6"/>
        <v>1019</v>
      </c>
      <c r="U13">
        <f t="shared" si="7"/>
        <v>1097</v>
      </c>
      <c r="V13">
        <f t="shared" si="8"/>
        <v>1178</v>
      </c>
      <c r="W13">
        <f t="shared" si="9"/>
        <v>1251</v>
      </c>
      <c r="X13">
        <f t="shared" si="10"/>
        <v>1284</v>
      </c>
      <c r="Y13">
        <f t="shared" si="11"/>
        <v>1379</v>
      </c>
      <c r="AC13" t="s">
        <v>25</v>
      </c>
      <c r="AH13">
        <v>11</v>
      </c>
      <c r="AI13">
        <v>3698</v>
      </c>
      <c r="AJ13">
        <f t="shared" si="0"/>
        <v>518.60951865873449</v>
      </c>
      <c r="AK13">
        <f t="shared" si="1"/>
        <v>2.0728943868516341E-3</v>
      </c>
      <c r="AL13">
        <f t="shared" si="2"/>
        <v>2.2263410060065048E-2</v>
      </c>
      <c r="AQ13">
        <v>0.55543715000000005</v>
      </c>
      <c r="AR13">
        <v>202</v>
      </c>
      <c r="AS13">
        <v>3844</v>
      </c>
      <c r="AT13" s="2">
        <v>11</v>
      </c>
      <c r="AU13">
        <v>3661</v>
      </c>
      <c r="AV13" s="3">
        <v>0.27143103000000002</v>
      </c>
      <c r="AW13">
        <v>3661</v>
      </c>
      <c r="AX13" s="2">
        <v>19</v>
      </c>
      <c r="AY13">
        <v>3616</v>
      </c>
      <c r="BA13">
        <v>33</v>
      </c>
      <c r="BC13">
        <v>8</v>
      </c>
    </row>
    <row r="14" spans="1:56" x14ac:dyDescent="0.25">
      <c r="A14">
        <v>12</v>
      </c>
      <c r="B14">
        <v>88</v>
      </c>
      <c r="C14">
        <v>35</v>
      </c>
      <c r="D14">
        <v>44</v>
      </c>
      <c r="E14">
        <v>30</v>
      </c>
      <c r="F14">
        <v>78</v>
      </c>
      <c r="G14">
        <v>41</v>
      </c>
      <c r="H14">
        <v>1</v>
      </c>
      <c r="I14">
        <v>36</v>
      </c>
      <c r="J14">
        <v>3</v>
      </c>
      <c r="K14">
        <v>85</v>
      </c>
      <c r="O14">
        <v>12</v>
      </c>
      <c r="P14">
        <f t="shared" si="12"/>
        <v>645</v>
      </c>
      <c r="Q14">
        <f t="shared" si="3"/>
        <v>680</v>
      </c>
      <c r="R14">
        <f t="shared" si="4"/>
        <v>919</v>
      </c>
      <c r="S14">
        <f t="shared" si="5"/>
        <v>959</v>
      </c>
      <c r="T14">
        <f t="shared" si="6"/>
        <v>1097</v>
      </c>
      <c r="U14">
        <f t="shared" si="7"/>
        <v>1138</v>
      </c>
      <c r="V14">
        <f t="shared" si="8"/>
        <v>1179</v>
      </c>
      <c r="W14">
        <f t="shared" si="9"/>
        <v>1287</v>
      </c>
      <c r="X14">
        <f t="shared" si="10"/>
        <v>1290</v>
      </c>
      <c r="Y14">
        <f t="shared" si="11"/>
        <v>1464</v>
      </c>
      <c r="AH14">
        <v>12</v>
      </c>
      <c r="AI14">
        <v>3747</v>
      </c>
      <c r="AJ14">
        <f t="shared" si="0"/>
        <v>511.82759540966106</v>
      </c>
      <c r="AK14">
        <f t="shared" si="1"/>
        <v>2.0457868808586447E-3</v>
      </c>
      <c r="AL14">
        <f t="shared" si="2"/>
        <v>2.4309196940923691E-2</v>
      </c>
      <c r="AQ14">
        <v>0.76097678999999996</v>
      </c>
      <c r="AR14">
        <v>148</v>
      </c>
      <c r="AS14">
        <v>3720</v>
      </c>
      <c r="AT14" s="2">
        <v>12</v>
      </c>
      <c r="AU14">
        <v>3767</v>
      </c>
      <c r="AV14" s="3">
        <v>0.50947951999999996</v>
      </c>
      <c r="AW14">
        <v>3767</v>
      </c>
      <c r="AX14" s="2">
        <v>154</v>
      </c>
      <c r="AY14">
        <v>3620</v>
      </c>
      <c r="BA14">
        <v>21</v>
      </c>
      <c r="BC14">
        <v>14</v>
      </c>
    </row>
    <row r="15" spans="1:56" x14ac:dyDescent="0.25">
      <c r="A15">
        <v>13</v>
      </c>
      <c r="B15">
        <v>91</v>
      </c>
      <c r="C15">
        <v>64</v>
      </c>
      <c r="D15">
        <v>4</v>
      </c>
      <c r="E15">
        <v>42</v>
      </c>
      <c r="F15">
        <v>63</v>
      </c>
      <c r="G15">
        <v>47</v>
      </c>
      <c r="H15">
        <v>36</v>
      </c>
      <c r="I15">
        <v>38</v>
      </c>
      <c r="J15">
        <v>51</v>
      </c>
      <c r="K15">
        <v>63</v>
      </c>
      <c r="O15">
        <v>13</v>
      </c>
      <c r="P15">
        <f t="shared" si="12"/>
        <v>736</v>
      </c>
      <c r="Q15">
        <f t="shared" si="3"/>
        <v>800</v>
      </c>
      <c r="R15">
        <f t="shared" si="4"/>
        <v>923</v>
      </c>
      <c r="S15">
        <f t="shared" si="5"/>
        <v>1001</v>
      </c>
      <c r="T15">
        <f t="shared" si="6"/>
        <v>1160</v>
      </c>
      <c r="U15">
        <f t="shared" si="7"/>
        <v>1207</v>
      </c>
      <c r="V15">
        <f t="shared" si="8"/>
        <v>1243</v>
      </c>
      <c r="W15">
        <f t="shared" si="9"/>
        <v>1325</v>
      </c>
      <c r="X15">
        <f t="shared" si="10"/>
        <v>1376</v>
      </c>
      <c r="Y15">
        <f t="shared" si="11"/>
        <v>1527</v>
      </c>
      <c r="AH15">
        <v>13</v>
      </c>
      <c r="AI15">
        <v>4091</v>
      </c>
      <c r="AJ15">
        <f t="shared" si="0"/>
        <v>468.78953801026643</v>
      </c>
      <c r="AK15">
        <f t="shared" si="1"/>
        <v>1.8737627579020633E-3</v>
      </c>
      <c r="AL15">
        <f t="shared" si="2"/>
        <v>2.6182959698825753E-2</v>
      </c>
      <c r="AQ15">
        <v>0.44019525999999998</v>
      </c>
      <c r="AR15">
        <v>456</v>
      </c>
      <c r="AS15">
        <v>3606</v>
      </c>
      <c r="AT15" s="2">
        <v>13</v>
      </c>
      <c r="AU15">
        <v>3942</v>
      </c>
      <c r="AV15" s="3">
        <v>0.50523393999999999</v>
      </c>
      <c r="AW15">
        <v>3942</v>
      </c>
      <c r="AX15" s="2">
        <v>213</v>
      </c>
      <c r="AY15">
        <v>3623</v>
      </c>
      <c r="BA15">
        <v>18</v>
      </c>
      <c r="BC15">
        <v>27</v>
      </c>
    </row>
    <row r="16" spans="1:56" x14ac:dyDescent="0.25">
      <c r="A16">
        <v>14</v>
      </c>
      <c r="B16">
        <v>78</v>
      </c>
      <c r="C16">
        <v>18</v>
      </c>
      <c r="D16">
        <v>46</v>
      </c>
      <c r="E16">
        <v>43</v>
      </c>
      <c r="F16">
        <v>34</v>
      </c>
      <c r="G16">
        <v>2</v>
      </c>
      <c r="H16">
        <v>30</v>
      </c>
      <c r="I16">
        <v>13</v>
      </c>
      <c r="J16">
        <v>76</v>
      </c>
      <c r="K16">
        <v>21</v>
      </c>
      <c r="O16">
        <v>14</v>
      </c>
      <c r="P16">
        <f t="shared" si="12"/>
        <v>814</v>
      </c>
      <c r="Q16">
        <f t="shared" si="3"/>
        <v>832</v>
      </c>
      <c r="R16">
        <f t="shared" si="4"/>
        <v>969</v>
      </c>
      <c r="S16">
        <f t="shared" si="5"/>
        <v>1044</v>
      </c>
      <c r="T16">
        <f t="shared" si="6"/>
        <v>1194</v>
      </c>
      <c r="U16">
        <f t="shared" si="7"/>
        <v>1209</v>
      </c>
      <c r="V16">
        <f t="shared" si="8"/>
        <v>1273</v>
      </c>
      <c r="W16">
        <f t="shared" si="9"/>
        <v>1338</v>
      </c>
      <c r="X16">
        <f t="shared" si="10"/>
        <v>1452</v>
      </c>
      <c r="Y16">
        <f t="shared" si="11"/>
        <v>1548</v>
      </c>
      <c r="AH16">
        <v>14</v>
      </c>
      <c r="AI16">
        <v>3901</v>
      </c>
      <c r="AJ16">
        <f t="shared" si="0"/>
        <v>491.62214816713663</v>
      </c>
      <c r="AK16">
        <f t="shared" si="1"/>
        <v>1.9650252352159297E-3</v>
      </c>
      <c r="AL16">
        <f t="shared" si="2"/>
        <v>2.8147984934041682E-2</v>
      </c>
      <c r="AQ16">
        <v>0.45252764000000001</v>
      </c>
      <c r="AR16">
        <v>75</v>
      </c>
      <c r="AS16">
        <v>3744</v>
      </c>
      <c r="AT16" s="2">
        <v>14</v>
      </c>
      <c r="AU16">
        <v>3746</v>
      </c>
      <c r="AV16" s="3">
        <v>0.32577096999999999</v>
      </c>
      <c r="AW16">
        <v>3746</v>
      </c>
      <c r="AX16" s="2">
        <v>190</v>
      </c>
      <c r="AY16">
        <v>3625</v>
      </c>
      <c r="BA16">
        <v>22</v>
      </c>
      <c r="BC16">
        <v>13</v>
      </c>
    </row>
    <row r="17" spans="1:55" x14ac:dyDescent="0.25">
      <c r="A17">
        <v>15</v>
      </c>
      <c r="B17">
        <v>70</v>
      </c>
      <c r="C17">
        <v>8</v>
      </c>
      <c r="D17">
        <v>10</v>
      </c>
      <c r="E17">
        <v>33</v>
      </c>
      <c r="F17">
        <v>71</v>
      </c>
      <c r="G17">
        <v>16</v>
      </c>
      <c r="H17">
        <v>13</v>
      </c>
      <c r="I17">
        <v>66</v>
      </c>
      <c r="J17">
        <v>2</v>
      </c>
      <c r="K17">
        <v>78</v>
      </c>
      <c r="O17">
        <v>15</v>
      </c>
      <c r="P17">
        <f t="shared" si="12"/>
        <v>884</v>
      </c>
      <c r="Q17">
        <f t="shared" si="3"/>
        <v>892</v>
      </c>
      <c r="R17">
        <f t="shared" si="4"/>
        <v>979</v>
      </c>
      <c r="S17">
        <f t="shared" si="5"/>
        <v>1077</v>
      </c>
      <c r="T17">
        <f t="shared" si="6"/>
        <v>1265</v>
      </c>
      <c r="U17">
        <f t="shared" si="7"/>
        <v>1281</v>
      </c>
      <c r="V17">
        <f t="shared" si="8"/>
        <v>1294</v>
      </c>
      <c r="W17">
        <f t="shared" si="9"/>
        <v>1404</v>
      </c>
      <c r="X17">
        <f t="shared" si="10"/>
        <v>1454</v>
      </c>
      <c r="Y17">
        <f t="shared" si="11"/>
        <v>1626</v>
      </c>
      <c r="AH17">
        <v>15</v>
      </c>
      <c r="AI17">
        <v>3899</v>
      </c>
      <c r="AJ17">
        <f t="shared" si="0"/>
        <v>491.87432675044886</v>
      </c>
      <c r="AK17">
        <f t="shared" si="1"/>
        <v>1.9660331989169895E-3</v>
      </c>
      <c r="AL17">
        <f t="shared" si="2"/>
        <v>3.0114018132958671E-2</v>
      </c>
      <c r="AQ17">
        <v>0.45306711999999999</v>
      </c>
      <c r="AR17">
        <v>34</v>
      </c>
      <c r="AS17">
        <v>3726</v>
      </c>
      <c r="AT17" s="2">
        <v>15</v>
      </c>
      <c r="AU17">
        <v>3670</v>
      </c>
      <c r="AV17" s="3">
        <v>0.62825900000000001</v>
      </c>
      <c r="AW17">
        <v>3670</v>
      </c>
      <c r="AX17" s="2">
        <v>69</v>
      </c>
      <c r="AY17">
        <v>3626</v>
      </c>
      <c r="BA17">
        <v>6</v>
      </c>
      <c r="BC17">
        <v>33</v>
      </c>
    </row>
    <row r="18" spans="1:55" x14ac:dyDescent="0.25">
      <c r="A18">
        <v>16</v>
      </c>
      <c r="B18">
        <v>53</v>
      </c>
      <c r="C18">
        <v>61</v>
      </c>
      <c r="D18">
        <v>63</v>
      </c>
      <c r="E18">
        <v>32</v>
      </c>
      <c r="F18">
        <v>49</v>
      </c>
      <c r="G18">
        <v>41</v>
      </c>
      <c r="H18">
        <v>90</v>
      </c>
      <c r="I18">
        <v>82</v>
      </c>
      <c r="J18">
        <v>63</v>
      </c>
      <c r="K18">
        <v>72</v>
      </c>
      <c r="O18">
        <v>16</v>
      </c>
      <c r="P18">
        <f t="shared" si="12"/>
        <v>937</v>
      </c>
      <c r="Q18">
        <f t="shared" si="3"/>
        <v>998</v>
      </c>
      <c r="R18">
        <f t="shared" si="4"/>
        <v>1061</v>
      </c>
      <c r="S18">
        <f t="shared" si="5"/>
        <v>1109</v>
      </c>
      <c r="T18">
        <f t="shared" si="6"/>
        <v>1314</v>
      </c>
      <c r="U18">
        <f t="shared" si="7"/>
        <v>1355</v>
      </c>
      <c r="V18">
        <f t="shared" si="8"/>
        <v>1445</v>
      </c>
      <c r="W18">
        <f t="shared" si="9"/>
        <v>1527</v>
      </c>
      <c r="X18">
        <f t="shared" si="10"/>
        <v>1590</v>
      </c>
      <c r="Y18">
        <f t="shared" si="11"/>
        <v>1698</v>
      </c>
      <c r="AH18">
        <v>16</v>
      </c>
      <c r="AI18">
        <v>3845</v>
      </c>
      <c r="AJ18">
        <f t="shared" si="0"/>
        <v>498.78231469440834</v>
      </c>
      <c r="AK18">
        <f t="shared" si="1"/>
        <v>1.9936445884466431E-3</v>
      </c>
      <c r="AL18">
        <f t="shared" si="2"/>
        <v>3.2107662721405313E-2</v>
      </c>
      <c r="AQ18">
        <v>0.77633881999999999</v>
      </c>
      <c r="AR18">
        <v>384</v>
      </c>
      <c r="AS18">
        <v>3824</v>
      </c>
      <c r="AT18" s="2">
        <v>16</v>
      </c>
      <c r="AU18">
        <v>3890</v>
      </c>
      <c r="AV18" s="3">
        <v>0.86599755</v>
      </c>
      <c r="AW18">
        <v>3890</v>
      </c>
      <c r="AX18" s="2">
        <v>326</v>
      </c>
      <c r="AY18">
        <v>3627</v>
      </c>
      <c r="BA18">
        <v>36</v>
      </c>
      <c r="BC18">
        <v>21</v>
      </c>
    </row>
    <row r="19" spans="1:55" x14ac:dyDescent="0.25">
      <c r="A19">
        <v>17</v>
      </c>
      <c r="B19">
        <v>51</v>
      </c>
      <c r="C19">
        <v>41</v>
      </c>
      <c r="D19">
        <v>76</v>
      </c>
      <c r="E19">
        <v>12</v>
      </c>
      <c r="F19">
        <v>69</v>
      </c>
      <c r="G19">
        <v>59</v>
      </c>
      <c r="H19">
        <v>30</v>
      </c>
      <c r="I19">
        <v>2</v>
      </c>
      <c r="J19">
        <v>84</v>
      </c>
      <c r="K19">
        <v>87</v>
      </c>
      <c r="O19">
        <v>17</v>
      </c>
      <c r="P19">
        <f t="shared" si="12"/>
        <v>988</v>
      </c>
      <c r="Q19">
        <f t="shared" si="3"/>
        <v>1039</v>
      </c>
      <c r="R19">
        <f t="shared" si="4"/>
        <v>1137</v>
      </c>
      <c r="S19">
        <f t="shared" si="5"/>
        <v>1149</v>
      </c>
      <c r="T19">
        <f t="shared" si="6"/>
        <v>1383</v>
      </c>
      <c r="U19">
        <f t="shared" si="7"/>
        <v>1442</v>
      </c>
      <c r="V19">
        <f t="shared" si="8"/>
        <v>1475</v>
      </c>
      <c r="W19">
        <f t="shared" si="9"/>
        <v>1529</v>
      </c>
      <c r="X19">
        <f t="shared" si="10"/>
        <v>1674</v>
      </c>
      <c r="Y19">
        <f t="shared" si="11"/>
        <v>1785</v>
      </c>
      <c r="AH19">
        <v>17</v>
      </c>
      <c r="AI19">
        <v>3959</v>
      </c>
      <c r="AJ19">
        <f t="shared" si="0"/>
        <v>484.41980298055063</v>
      </c>
      <c r="AK19">
        <f t="shared" si="1"/>
        <v>1.9362372928965247E-3</v>
      </c>
      <c r="AL19">
        <f t="shared" si="2"/>
        <v>3.4043900014301839E-2</v>
      </c>
      <c r="AQ19">
        <v>0.51935332999999995</v>
      </c>
      <c r="AR19">
        <v>32</v>
      </c>
      <c r="AS19">
        <v>3681</v>
      </c>
      <c r="AT19" s="2">
        <v>17</v>
      </c>
      <c r="AU19">
        <v>3751</v>
      </c>
      <c r="AV19" s="3">
        <v>0.40467398999999998</v>
      </c>
      <c r="AW19">
        <v>3751</v>
      </c>
      <c r="AX19" s="2">
        <v>243</v>
      </c>
      <c r="AY19">
        <v>3631</v>
      </c>
      <c r="BA19">
        <v>4</v>
      </c>
      <c r="BC19">
        <v>12</v>
      </c>
    </row>
    <row r="20" spans="1:55" x14ac:dyDescent="0.25">
      <c r="A20">
        <v>18</v>
      </c>
      <c r="B20">
        <v>96</v>
      </c>
      <c r="C20">
        <v>65</v>
      </c>
      <c r="D20">
        <v>23</v>
      </c>
      <c r="E20">
        <v>68</v>
      </c>
      <c r="F20">
        <v>97</v>
      </c>
      <c r="G20">
        <v>27</v>
      </c>
      <c r="H20">
        <v>66</v>
      </c>
      <c r="I20">
        <v>76</v>
      </c>
      <c r="J20">
        <v>55</v>
      </c>
      <c r="K20">
        <v>52</v>
      </c>
      <c r="O20">
        <v>18</v>
      </c>
      <c r="P20">
        <f t="shared" si="12"/>
        <v>1084</v>
      </c>
      <c r="Q20">
        <f t="shared" si="3"/>
        <v>1149</v>
      </c>
      <c r="R20">
        <f t="shared" si="4"/>
        <v>1172</v>
      </c>
      <c r="S20">
        <f t="shared" si="5"/>
        <v>1240</v>
      </c>
      <c r="T20">
        <f t="shared" si="6"/>
        <v>1480</v>
      </c>
      <c r="U20">
        <f t="shared" si="7"/>
        <v>1507</v>
      </c>
      <c r="V20">
        <f t="shared" si="8"/>
        <v>1573</v>
      </c>
      <c r="W20">
        <f t="shared" si="9"/>
        <v>1649</v>
      </c>
      <c r="X20">
        <f t="shared" si="10"/>
        <v>1729</v>
      </c>
      <c r="Y20">
        <f t="shared" si="11"/>
        <v>1837</v>
      </c>
      <c r="AH20">
        <v>18</v>
      </c>
      <c r="AI20">
        <v>4026</v>
      </c>
      <c r="AJ20">
        <f t="shared" si="0"/>
        <v>476.35817188276206</v>
      </c>
      <c r="AK20">
        <f t="shared" si="1"/>
        <v>1.9040147646739549E-3</v>
      </c>
      <c r="AL20">
        <f t="shared" si="2"/>
        <v>3.5947914778975791E-2</v>
      </c>
      <c r="AQ20">
        <v>8.9321020000000001E-2</v>
      </c>
      <c r="AR20">
        <v>378</v>
      </c>
      <c r="AS20">
        <v>3698</v>
      </c>
      <c r="AT20" s="2">
        <v>18</v>
      </c>
      <c r="AU20">
        <v>3625</v>
      </c>
      <c r="AV20" s="3">
        <v>0.97046840000000001</v>
      </c>
      <c r="AW20">
        <v>3625</v>
      </c>
      <c r="AX20" s="2">
        <v>64</v>
      </c>
      <c r="AY20">
        <v>3633</v>
      </c>
      <c r="BA20">
        <v>16</v>
      </c>
      <c r="BC20">
        <v>32</v>
      </c>
    </row>
    <row r="21" spans="1:55" x14ac:dyDescent="0.25">
      <c r="A21">
        <v>19</v>
      </c>
      <c r="B21">
        <v>27</v>
      </c>
      <c r="C21">
        <v>71</v>
      </c>
      <c r="D21">
        <v>95</v>
      </c>
      <c r="E21">
        <v>8</v>
      </c>
      <c r="F21">
        <v>10</v>
      </c>
      <c r="G21">
        <v>18</v>
      </c>
      <c r="H21">
        <v>28</v>
      </c>
      <c r="I21">
        <v>29</v>
      </c>
      <c r="J21">
        <v>3</v>
      </c>
      <c r="K21">
        <v>39</v>
      </c>
      <c r="O21">
        <v>19</v>
      </c>
      <c r="P21">
        <f t="shared" si="12"/>
        <v>1111</v>
      </c>
      <c r="Q21">
        <f t="shared" si="3"/>
        <v>1220</v>
      </c>
      <c r="R21">
        <f t="shared" si="4"/>
        <v>1315</v>
      </c>
      <c r="S21">
        <f t="shared" si="5"/>
        <v>1323</v>
      </c>
      <c r="T21">
        <f t="shared" si="6"/>
        <v>1490</v>
      </c>
      <c r="U21">
        <f t="shared" si="7"/>
        <v>1525</v>
      </c>
      <c r="V21">
        <f t="shared" si="8"/>
        <v>1601</v>
      </c>
      <c r="W21">
        <f t="shared" si="9"/>
        <v>1678</v>
      </c>
      <c r="X21">
        <f t="shared" si="10"/>
        <v>1732</v>
      </c>
      <c r="Y21">
        <f t="shared" si="11"/>
        <v>1876</v>
      </c>
      <c r="AH21">
        <v>19</v>
      </c>
      <c r="AI21">
        <v>4112</v>
      </c>
      <c r="AJ21">
        <f t="shared" si="0"/>
        <v>466.39542801556422</v>
      </c>
      <c r="AK21">
        <f t="shared" si="1"/>
        <v>1.8641934442065521E-3</v>
      </c>
      <c r="AL21">
        <f t="shared" si="2"/>
        <v>3.7812108223182345E-2</v>
      </c>
      <c r="AQ21">
        <v>0.16988426000000001</v>
      </c>
      <c r="AR21">
        <v>402</v>
      </c>
      <c r="AS21">
        <v>3722</v>
      </c>
      <c r="AT21" s="2">
        <v>19</v>
      </c>
      <c r="AU21">
        <v>3791</v>
      </c>
      <c r="AV21" s="3">
        <v>0.91511399000000004</v>
      </c>
      <c r="AW21">
        <v>3791</v>
      </c>
      <c r="AX21" s="2">
        <v>314</v>
      </c>
      <c r="AY21">
        <v>3633</v>
      </c>
      <c r="BA21">
        <v>34</v>
      </c>
      <c r="BC21">
        <v>31</v>
      </c>
    </row>
    <row r="22" spans="1:55" x14ac:dyDescent="0.25">
      <c r="A22">
        <v>20</v>
      </c>
      <c r="B22">
        <v>47</v>
      </c>
      <c r="C22">
        <v>34</v>
      </c>
      <c r="D22">
        <v>73</v>
      </c>
      <c r="E22">
        <v>82</v>
      </c>
      <c r="F22">
        <v>43</v>
      </c>
      <c r="G22">
        <v>33</v>
      </c>
      <c r="H22">
        <v>36</v>
      </c>
      <c r="I22">
        <v>90</v>
      </c>
      <c r="J22">
        <v>82</v>
      </c>
      <c r="K22">
        <v>93</v>
      </c>
      <c r="O22">
        <v>20</v>
      </c>
      <c r="P22">
        <f t="shared" si="12"/>
        <v>1158</v>
      </c>
      <c r="Q22">
        <f t="shared" si="3"/>
        <v>1254</v>
      </c>
      <c r="R22">
        <f t="shared" si="4"/>
        <v>1388</v>
      </c>
      <c r="S22">
        <f t="shared" si="5"/>
        <v>1470</v>
      </c>
      <c r="T22">
        <f t="shared" si="6"/>
        <v>1533</v>
      </c>
      <c r="U22">
        <f t="shared" si="7"/>
        <v>1566</v>
      </c>
      <c r="V22">
        <f t="shared" si="8"/>
        <v>1637</v>
      </c>
      <c r="W22">
        <f t="shared" si="9"/>
        <v>1768</v>
      </c>
      <c r="X22">
        <f t="shared" si="10"/>
        <v>1850</v>
      </c>
      <c r="Y22">
        <f t="shared" si="11"/>
        <v>1969</v>
      </c>
      <c r="AH22">
        <v>20</v>
      </c>
      <c r="AI22">
        <v>4048</v>
      </c>
      <c r="AJ22">
        <f t="shared" si="0"/>
        <v>473.76926877470356</v>
      </c>
      <c r="AK22">
        <f t="shared" si="1"/>
        <v>1.893666858344205E-3</v>
      </c>
      <c r="AL22">
        <f t="shared" si="2"/>
        <v>3.9705775081526548E-2</v>
      </c>
      <c r="AQ22">
        <v>0.99429559999999995</v>
      </c>
      <c r="AR22">
        <v>60</v>
      </c>
      <c r="AS22">
        <v>3770</v>
      </c>
      <c r="AT22" s="2">
        <v>20</v>
      </c>
      <c r="AU22">
        <v>3786</v>
      </c>
      <c r="AV22" s="3">
        <v>0.59259081000000002</v>
      </c>
      <c r="AW22">
        <v>3786</v>
      </c>
      <c r="AX22" s="2">
        <v>17</v>
      </c>
      <c r="AY22">
        <v>3634</v>
      </c>
      <c r="BA22">
        <v>43</v>
      </c>
      <c r="BC22">
        <v>11</v>
      </c>
    </row>
    <row r="23" spans="1:55" x14ac:dyDescent="0.25">
      <c r="A23">
        <v>21</v>
      </c>
      <c r="B23">
        <v>30</v>
      </c>
      <c r="C23">
        <v>35</v>
      </c>
      <c r="D23">
        <v>78</v>
      </c>
      <c r="E23">
        <v>27</v>
      </c>
      <c r="F23">
        <v>22</v>
      </c>
      <c r="G23">
        <v>1</v>
      </c>
      <c r="H23">
        <v>38</v>
      </c>
      <c r="I23">
        <v>36</v>
      </c>
      <c r="J23">
        <v>46</v>
      </c>
      <c r="K23">
        <v>22</v>
      </c>
      <c r="O23">
        <v>21</v>
      </c>
      <c r="P23">
        <f t="shared" si="12"/>
        <v>1188</v>
      </c>
      <c r="Q23">
        <f t="shared" si="3"/>
        <v>1289</v>
      </c>
      <c r="R23">
        <f t="shared" si="4"/>
        <v>1466</v>
      </c>
      <c r="S23">
        <f t="shared" si="5"/>
        <v>1497</v>
      </c>
      <c r="T23">
        <f t="shared" si="6"/>
        <v>1555</v>
      </c>
      <c r="U23">
        <f t="shared" si="7"/>
        <v>1567</v>
      </c>
      <c r="V23">
        <f t="shared" si="8"/>
        <v>1675</v>
      </c>
      <c r="W23">
        <f t="shared" si="9"/>
        <v>1804</v>
      </c>
      <c r="X23">
        <f t="shared" si="10"/>
        <v>1896</v>
      </c>
      <c r="Y23">
        <f t="shared" si="11"/>
        <v>1991</v>
      </c>
      <c r="AH23">
        <v>21</v>
      </c>
      <c r="AI23">
        <v>3860</v>
      </c>
      <c r="AJ23">
        <f t="shared" si="0"/>
        <v>496.84404145077718</v>
      </c>
      <c r="AK23">
        <f t="shared" si="1"/>
        <v>1.9858972649164095E-3</v>
      </c>
      <c r="AL23">
        <f t="shared" si="2"/>
        <v>4.1691672346442957E-2</v>
      </c>
      <c r="AQ23">
        <v>1.0258379999999999E-2</v>
      </c>
      <c r="AR23">
        <v>124</v>
      </c>
      <c r="AS23">
        <v>3746</v>
      </c>
      <c r="AT23" s="2">
        <v>21</v>
      </c>
      <c r="AU23">
        <v>3757</v>
      </c>
      <c r="AV23" s="3">
        <v>0.71341962000000003</v>
      </c>
      <c r="AW23">
        <v>3757</v>
      </c>
      <c r="AX23" s="2">
        <v>39</v>
      </c>
      <c r="AY23">
        <v>3637</v>
      </c>
      <c r="BA23">
        <v>45</v>
      </c>
      <c r="BC23">
        <v>42</v>
      </c>
    </row>
    <row r="24" spans="1:55" x14ac:dyDescent="0.25">
      <c r="A24">
        <v>22</v>
      </c>
      <c r="B24">
        <v>37</v>
      </c>
      <c r="C24">
        <v>92</v>
      </c>
      <c r="D24">
        <v>46</v>
      </c>
      <c r="E24">
        <v>59</v>
      </c>
      <c r="F24">
        <v>16</v>
      </c>
      <c r="G24">
        <v>99</v>
      </c>
      <c r="H24">
        <v>48</v>
      </c>
      <c r="I24">
        <v>32</v>
      </c>
      <c r="J24">
        <v>58</v>
      </c>
      <c r="K24">
        <v>82</v>
      </c>
      <c r="O24">
        <v>22</v>
      </c>
      <c r="P24">
        <f t="shared" si="12"/>
        <v>1225</v>
      </c>
      <c r="Q24">
        <f t="shared" si="3"/>
        <v>1381</v>
      </c>
      <c r="R24">
        <f t="shared" si="4"/>
        <v>1512</v>
      </c>
      <c r="S24">
        <f t="shared" si="5"/>
        <v>1571</v>
      </c>
      <c r="T24">
        <f t="shared" si="6"/>
        <v>1587</v>
      </c>
      <c r="U24">
        <f t="shared" si="7"/>
        <v>1686</v>
      </c>
      <c r="V24">
        <f t="shared" si="8"/>
        <v>1734</v>
      </c>
      <c r="W24">
        <f t="shared" si="9"/>
        <v>1836</v>
      </c>
      <c r="X24">
        <f t="shared" si="10"/>
        <v>1954</v>
      </c>
      <c r="Y24">
        <f t="shared" si="11"/>
        <v>2073</v>
      </c>
      <c r="AH24">
        <v>22</v>
      </c>
      <c r="AI24">
        <v>3713</v>
      </c>
      <c r="AJ24">
        <f t="shared" si="0"/>
        <v>516.51440883382713</v>
      </c>
      <c r="AK24">
        <f t="shared" si="1"/>
        <v>2.0645201838344579E-3</v>
      </c>
      <c r="AL24">
        <f t="shared" si="2"/>
        <v>4.3756192530277412E-2</v>
      </c>
      <c r="AQ24">
        <v>0.43227970999999998</v>
      </c>
      <c r="AR24">
        <v>380</v>
      </c>
      <c r="AS24">
        <v>3806</v>
      </c>
      <c r="AT24" s="2">
        <v>22</v>
      </c>
      <c r="AU24">
        <v>4003</v>
      </c>
      <c r="AV24" s="3">
        <v>0.82865535999999995</v>
      </c>
      <c r="AW24">
        <v>4003</v>
      </c>
      <c r="AX24" s="2">
        <v>394</v>
      </c>
      <c r="AY24">
        <v>3638</v>
      </c>
      <c r="BA24">
        <v>47</v>
      </c>
      <c r="BC24">
        <v>28</v>
      </c>
    </row>
    <row r="25" spans="1:55" x14ac:dyDescent="0.25">
      <c r="A25">
        <v>23</v>
      </c>
      <c r="B25">
        <v>63</v>
      </c>
      <c r="C25">
        <v>70</v>
      </c>
      <c r="D25">
        <v>40</v>
      </c>
      <c r="E25">
        <v>20</v>
      </c>
      <c r="F25">
        <v>31</v>
      </c>
      <c r="G25">
        <v>3</v>
      </c>
      <c r="H25">
        <v>97</v>
      </c>
      <c r="I25">
        <v>84</v>
      </c>
      <c r="J25">
        <v>24</v>
      </c>
      <c r="K25">
        <v>21</v>
      </c>
      <c r="O25">
        <v>23</v>
      </c>
      <c r="P25">
        <f t="shared" si="12"/>
        <v>1288</v>
      </c>
      <c r="Q25">
        <f t="shared" si="3"/>
        <v>1451</v>
      </c>
      <c r="R25">
        <f t="shared" si="4"/>
        <v>1552</v>
      </c>
      <c r="S25">
        <f t="shared" si="5"/>
        <v>1591</v>
      </c>
      <c r="T25">
        <f t="shared" si="6"/>
        <v>1622</v>
      </c>
      <c r="U25">
        <f t="shared" si="7"/>
        <v>1689</v>
      </c>
      <c r="V25">
        <f t="shared" si="8"/>
        <v>1831</v>
      </c>
      <c r="W25">
        <f t="shared" si="9"/>
        <v>1920</v>
      </c>
      <c r="X25">
        <f t="shared" si="10"/>
        <v>1978</v>
      </c>
      <c r="Y25">
        <f t="shared" si="11"/>
        <v>2094</v>
      </c>
      <c r="AH25">
        <v>23</v>
      </c>
      <c r="AI25">
        <v>3894</v>
      </c>
      <c r="AJ25">
        <f t="shared" si="0"/>
        <v>492.5059065228557</v>
      </c>
      <c r="AK25">
        <f t="shared" si="1"/>
        <v>1.9685576380527327E-3</v>
      </c>
      <c r="AL25">
        <f t="shared" si="2"/>
        <v>4.5724750168330143E-2</v>
      </c>
      <c r="AQ25">
        <v>0.94398671000000001</v>
      </c>
      <c r="AR25">
        <v>146</v>
      </c>
      <c r="AS25">
        <v>3754</v>
      </c>
      <c r="AT25" s="2">
        <v>23</v>
      </c>
      <c r="AU25">
        <v>3782</v>
      </c>
      <c r="AV25" s="3">
        <v>0.23728162</v>
      </c>
      <c r="AW25">
        <v>3782</v>
      </c>
      <c r="AX25" s="2">
        <v>116</v>
      </c>
      <c r="AY25">
        <v>3639</v>
      </c>
      <c r="BA25">
        <v>1</v>
      </c>
      <c r="BC25">
        <v>25</v>
      </c>
    </row>
    <row r="26" spans="1:55" x14ac:dyDescent="0.25">
      <c r="A26">
        <v>24</v>
      </c>
      <c r="B26">
        <v>61</v>
      </c>
      <c r="C26">
        <v>65</v>
      </c>
      <c r="D26">
        <v>34</v>
      </c>
      <c r="E26">
        <v>60</v>
      </c>
      <c r="F26">
        <v>22</v>
      </c>
      <c r="G26">
        <v>15</v>
      </c>
      <c r="H26">
        <v>56</v>
      </c>
      <c r="I26">
        <v>78</v>
      </c>
      <c r="J26">
        <v>57</v>
      </c>
      <c r="K26">
        <v>65</v>
      </c>
      <c r="O26">
        <v>24</v>
      </c>
      <c r="P26">
        <f t="shared" si="12"/>
        <v>1349</v>
      </c>
      <c r="Q26">
        <f t="shared" si="3"/>
        <v>1516</v>
      </c>
      <c r="R26">
        <f t="shared" si="4"/>
        <v>1586</v>
      </c>
      <c r="S26">
        <f t="shared" si="5"/>
        <v>1651</v>
      </c>
      <c r="T26">
        <f t="shared" si="6"/>
        <v>1673</v>
      </c>
      <c r="U26">
        <f t="shared" si="7"/>
        <v>1704</v>
      </c>
      <c r="V26">
        <f t="shared" si="8"/>
        <v>1887</v>
      </c>
      <c r="W26">
        <f t="shared" si="9"/>
        <v>1998</v>
      </c>
      <c r="X26">
        <f t="shared" si="10"/>
        <v>2055</v>
      </c>
      <c r="Y26">
        <f t="shared" si="11"/>
        <v>2159</v>
      </c>
      <c r="AH26">
        <v>24</v>
      </c>
      <c r="AI26">
        <v>3910</v>
      </c>
      <c r="AJ26">
        <f t="shared" si="0"/>
        <v>490.49053708439897</v>
      </c>
      <c r="AK26">
        <f t="shared" si="1"/>
        <v>1.9605021592269418E-3</v>
      </c>
      <c r="AL26">
        <f t="shared" si="2"/>
        <v>4.7685252327557083E-2</v>
      </c>
      <c r="AQ26">
        <v>0.51305270000000003</v>
      </c>
      <c r="AR26">
        <v>75</v>
      </c>
      <c r="AS26">
        <v>3744</v>
      </c>
      <c r="AT26" s="2">
        <v>24</v>
      </c>
      <c r="AU26">
        <v>3703</v>
      </c>
      <c r="AV26" s="3">
        <v>0.18590235999999999</v>
      </c>
      <c r="AW26">
        <v>3703</v>
      </c>
      <c r="AX26" s="2">
        <v>478</v>
      </c>
      <c r="AY26">
        <v>3641</v>
      </c>
      <c r="BA26">
        <v>50</v>
      </c>
      <c r="BC26">
        <v>22</v>
      </c>
    </row>
    <row r="27" spans="1:55" x14ac:dyDescent="0.25">
      <c r="A27">
        <v>25</v>
      </c>
      <c r="B27">
        <v>73</v>
      </c>
      <c r="C27">
        <v>76</v>
      </c>
      <c r="D27">
        <v>92</v>
      </c>
      <c r="E27">
        <v>76</v>
      </c>
      <c r="F27">
        <v>62</v>
      </c>
      <c r="G27">
        <v>45</v>
      </c>
      <c r="H27">
        <v>92</v>
      </c>
      <c r="I27">
        <v>94</v>
      </c>
      <c r="J27">
        <v>59</v>
      </c>
      <c r="K27">
        <v>81</v>
      </c>
      <c r="O27">
        <v>25</v>
      </c>
      <c r="P27">
        <f t="shared" si="12"/>
        <v>1422</v>
      </c>
      <c r="Q27">
        <f t="shared" si="3"/>
        <v>1592</v>
      </c>
      <c r="R27">
        <f t="shared" si="4"/>
        <v>1684</v>
      </c>
      <c r="S27">
        <f t="shared" si="5"/>
        <v>1760</v>
      </c>
      <c r="T27">
        <f t="shared" si="6"/>
        <v>1822</v>
      </c>
      <c r="U27">
        <f t="shared" si="7"/>
        <v>1867</v>
      </c>
      <c r="V27">
        <f t="shared" si="8"/>
        <v>1979</v>
      </c>
      <c r="W27">
        <f t="shared" si="9"/>
        <v>2092</v>
      </c>
      <c r="X27">
        <f t="shared" si="10"/>
        <v>2151</v>
      </c>
      <c r="Y27">
        <f t="shared" si="11"/>
        <v>2240</v>
      </c>
      <c r="AH27">
        <v>25</v>
      </c>
      <c r="AI27">
        <v>3787</v>
      </c>
      <c r="AJ27">
        <f t="shared" si="0"/>
        <v>506.42144177449165</v>
      </c>
      <c r="AK27">
        <f t="shared" si="1"/>
        <v>2.024178358219525E-3</v>
      </c>
      <c r="AL27">
        <f t="shared" si="2"/>
        <v>4.9709430685776608E-2</v>
      </c>
      <c r="AQ27">
        <v>0.1807937</v>
      </c>
      <c r="AR27">
        <v>306</v>
      </c>
      <c r="AS27">
        <v>3817</v>
      </c>
      <c r="AT27" s="2">
        <v>25</v>
      </c>
      <c r="AU27">
        <v>3728</v>
      </c>
      <c r="AV27" s="3">
        <v>0.50404161000000003</v>
      </c>
      <c r="AW27">
        <v>3728</v>
      </c>
      <c r="AX27" s="2">
        <v>172</v>
      </c>
      <c r="AY27">
        <v>3641</v>
      </c>
      <c r="BA27">
        <v>38</v>
      </c>
      <c r="BC27">
        <v>23</v>
      </c>
    </row>
    <row r="28" spans="1:55" x14ac:dyDescent="0.25">
      <c r="A28">
        <v>26</v>
      </c>
      <c r="B28">
        <v>80</v>
      </c>
      <c r="C28">
        <v>71</v>
      </c>
      <c r="D28">
        <v>42</v>
      </c>
      <c r="E28">
        <v>44</v>
      </c>
      <c r="F28">
        <v>14</v>
      </c>
      <c r="G28">
        <v>82</v>
      </c>
      <c r="H28">
        <v>93</v>
      </c>
      <c r="I28">
        <v>45</v>
      </c>
      <c r="J28">
        <v>86</v>
      </c>
      <c r="K28">
        <v>59</v>
      </c>
      <c r="O28">
        <v>26</v>
      </c>
      <c r="P28">
        <f t="shared" si="12"/>
        <v>1502</v>
      </c>
      <c r="Q28">
        <f t="shared" si="3"/>
        <v>1663</v>
      </c>
      <c r="R28">
        <f t="shared" si="4"/>
        <v>1726</v>
      </c>
      <c r="S28">
        <f t="shared" si="5"/>
        <v>1804</v>
      </c>
      <c r="T28">
        <f t="shared" si="6"/>
        <v>1836</v>
      </c>
      <c r="U28">
        <f t="shared" si="7"/>
        <v>1949</v>
      </c>
      <c r="V28">
        <f t="shared" si="8"/>
        <v>2072</v>
      </c>
      <c r="W28">
        <f t="shared" si="9"/>
        <v>2137</v>
      </c>
      <c r="X28">
        <f t="shared" si="10"/>
        <v>2237</v>
      </c>
      <c r="Y28">
        <f t="shared" si="11"/>
        <v>2299</v>
      </c>
      <c r="AH28">
        <v>26</v>
      </c>
      <c r="AI28">
        <v>3977</v>
      </c>
      <c r="AJ28">
        <f t="shared" si="0"/>
        <v>482.22730701533817</v>
      </c>
      <c r="AK28">
        <f t="shared" si="1"/>
        <v>1.9274738351967166E-3</v>
      </c>
      <c r="AL28">
        <f t="shared" si="2"/>
        <v>5.1636904520973324E-2</v>
      </c>
      <c r="AQ28">
        <v>0.99025381000000001</v>
      </c>
      <c r="AR28">
        <v>282</v>
      </c>
      <c r="AS28">
        <v>3788</v>
      </c>
      <c r="AT28" s="2">
        <v>26</v>
      </c>
      <c r="AU28">
        <v>3753</v>
      </c>
      <c r="AV28" s="3">
        <v>0.99511945000000002</v>
      </c>
      <c r="AW28">
        <v>3753</v>
      </c>
      <c r="AX28" s="2">
        <v>355</v>
      </c>
      <c r="AY28">
        <v>3642</v>
      </c>
      <c r="BA28">
        <v>48</v>
      </c>
      <c r="BC28">
        <v>3</v>
      </c>
    </row>
    <row r="29" spans="1:55" x14ac:dyDescent="0.25">
      <c r="A29">
        <v>27</v>
      </c>
      <c r="B29">
        <v>5</v>
      </c>
      <c r="C29">
        <v>81</v>
      </c>
      <c r="D29">
        <v>56</v>
      </c>
      <c r="E29">
        <v>29</v>
      </c>
      <c r="F29">
        <v>11</v>
      </c>
      <c r="G29">
        <v>20</v>
      </c>
      <c r="H29">
        <v>81</v>
      </c>
      <c r="I29">
        <v>14</v>
      </c>
      <c r="J29">
        <v>39</v>
      </c>
      <c r="K29">
        <v>73</v>
      </c>
      <c r="O29">
        <v>27</v>
      </c>
      <c r="P29">
        <f t="shared" si="12"/>
        <v>1507</v>
      </c>
      <c r="Q29">
        <f t="shared" si="3"/>
        <v>1744</v>
      </c>
      <c r="R29">
        <f t="shared" si="4"/>
        <v>1800</v>
      </c>
      <c r="S29">
        <f t="shared" si="5"/>
        <v>1833</v>
      </c>
      <c r="T29">
        <f t="shared" si="6"/>
        <v>1847</v>
      </c>
      <c r="U29">
        <f t="shared" si="7"/>
        <v>1969</v>
      </c>
      <c r="V29">
        <f t="shared" si="8"/>
        <v>2153</v>
      </c>
      <c r="W29">
        <f t="shared" si="9"/>
        <v>2167</v>
      </c>
      <c r="X29">
        <f t="shared" si="10"/>
        <v>2276</v>
      </c>
      <c r="Y29">
        <f t="shared" si="11"/>
        <v>2372</v>
      </c>
      <c r="AH29">
        <v>27</v>
      </c>
      <c r="AI29">
        <v>4067</v>
      </c>
      <c r="AJ29">
        <f t="shared" si="0"/>
        <v>471.55593803786576</v>
      </c>
      <c r="AK29">
        <f t="shared" si="1"/>
        <v>1.8848201235744631E-3</v>
      </c>
      <c r="AL29">
        <f t="shared" si="2"/>
        <v>5.352172464454779E-2</v>
      </c>
      <c r="AQ29">
        <v>0.31132418000000001</v>
      </c>
      <c r="AR29">
        <v>84</v>
      </c>
      <c r="AS29">
        <v>3649</v>
      </c>
      <c r="AT29" s="2">
        <v>27</v>
      </c>
      <c r="AU29">
        <v>3764</v>
      </c>
      <c r="AV29" s="3">
        <v>0.37289911999999997</v>
      </c>
      <c r="AW29">
        <v>3764</v>
      </c>
      <c r="AX29" s="2">
        <v>477</v>
      </c>
      <c r="AY29">
        <v>3642</v>
      </c>
      <c r="BA29">
        <v>2</v>
      </c>
      <c r="BC29">
        <v>39</v>
      </c>
    </row>
    <row r="30" spans="1:55" x14ac:dyDescent="0.25">
      <c r="A30">
        <v>28</v>
      </c>
      <c r="B30">
        <v>82</v>
      </c>
      <c r="C30">
        <v>32</v>
      </c>
      <c r="D30">
        <v>4</v>
      </c>
      <c r="E30">
        <v>68</v>
      </c>
      <c r="F30">
        <v>46</v>
      </c>
      <c r="G30">
        <v>11</v>
      </c>
      <c r="H30">
        <v>24</v>
      </c>
      <c r="I30">
        <v>72</v>
      </c>
      <c r="J30">
        <v>55</v>
      </c>
      <c r="K30">
        <v>74</v>
      </c>
      <c r="O30">
        <v>28</v>
      </c>
      <c r="P30">
        <f t="shared" si="12"/>
        <v>1589</v>
      </c>
      <c r="Q30">
        <f t="shared" si="3"/>
        <v>1776</v>
      </c>
      <c r="R30">
        <f t="shared" si="4"/>
        <v>1804</v>
      </c>
      <c r="S30">
        <f t="shared" si="5"/>
        <v>1901</v>
      </c>
      <c r="T30">
        <f t="shared" si="6"/>
        <v>1947</v>
      </c>
      <c r="U30">
        <f t="shared" si="7"/>
        <v>1980</v>
      </c>
      <c r="V30">
        <f t="shared" si="8"/>
        <v>2177</v>
      </c>
      <c r="W30">
        <f t="shared" si="9"/>
        <v>2249</v>
      </c>
      <c r="X30">
        <f t="shared" si="10"/>
        <v>2331</v>
      </c>
      <c r="Y30">
        <f t="shared" si="11"/>
        <v>2446</v>
      </c>
      <c r="AH30">
        <v>28</v>
      </c>
      <c r="AI30">
        <v>3963</v>
      </c>
      <c r="AJ30">
        <f t="shared" si="0"/>
        <v>483.93086045924804</v>
      </c>
      <c r="AK30">
        <f t="shared" si="1"/>
        <v>1.934282978192617E-3</v>
      </c>
      <c r="AL30">
        <f t="shared" si="2"/>
        <v>5.5456007622740409E-2</v>
      </c>
      <c r="AQ30">
        <v>0.53726101000000004</v>
      </c>
      <c r="AR30">
        <v>204</v>
      </c>
      <c r="AS30">
        <v>3802</v>
      </c>
      <c r="AT30" s="2">
        <v>28</v>
      </c>
      <c r="AU30">
        <v>3732</v>
      </c>
      <c r="AV30" s="3">
        <v>0.12402058000000001</v>
      </c>
      <c r="AW30">
        <v>3732</v>
      </c>
      <c r="AX30" s="2">
        <v>32</v>
      </c>
      <c r="AY30">
        <v>3642</v>
      </c>
      <c r="BA30">
        <v>46</v>
      </c>
      <c r="BC30">
        <v>7</v>
      </c>
    </row>
    <row r="31" spans="1:55" x14ac:dyDescent="0.25">
      <c r="A31">
        <v>29</v>
      </c>
      <c r="B31">
        <v>49</v>
      </c>
      <c r="C31">
        <v>27</v>
      </c>
      <c r="D31">
        <v>63</v>
      </c>
      <c r="E31">
        <v>24</v>
      </c>
      <c r="F31">
        <v>85</v>
      </c>
      <c r="G31">
        <v>90</v>
      </c>
      <c r="H31">
        <v>38</v>
      </c>
      <c r="I31">
        <v>3</v>
      </c>
      <c r="J31">
        <v>69</v>
      </c>
      <c r="K31">
        <v>33</v>
      </c>
      <c r="O31">
        <v>29</v>
      </c>
      <c r="P31">
        <f t="shared" si="12"/>
        <v>1638</v>
      </c>
      <c r="Q31">
        <f t="shared" si="3"/>
        <v>1803</v>
      </c>
      <c r="R31">
        <f t="shared" si="4"/>
        <v>1867</v>
      </c>
      <c r="S31">
        <f t="shared" si="5"/>
        <v>1925</v>
      </c>
      <c r="T31">
        <f t="shared" si="6"/>
        <v>2032</v>
      </c>
      <c r="U31">
        <f t="shared" si="7"/>
        <v>2122</v>
      </c>
      <c r="V31">
        <f t="shared" si="8"/>
        <v>2215</v>
      </c>
      <c r="W31">
        <f t="shared" si="9"/>
        <v>2252</v>
      </c>
      <c r="X31">
        <f t="shared" si="10"/>
        <v>2400</v>
      </c>
      <c r="Y31">
        <f t="shared" si="11"/>
        <v>2479</v>
      </c>
      <c r="AH31">
        <v>29</v>
      </c>
      <c r="AI31">
        <v>3844</v>
      </c>
      <c r="AJ31">
        <f t="shared" si="0"/>
        <v>498.91207075962541</v>
      </c>
      <c r="AK31">
        <f t="shared" si="1"/>
        <v>1.9941632264769359E-3</v>
      </c>
      <c r="AL31">
        <f t="shared" si="2"/>
        <v>5.7450170849217344E-2</v>
      </c>
      <c r="AQ31">
        <v>0.97950667000000002</v>
      </c>
      <c r="AR31">
        <v>178</v>
      </c>
      <c r="AS31">
        <v>3690</v>
      </c>
      <c r="AT31" s="2">
        <v>29</v>
      </c>
      <c r="AU31">
        <v>3601</v>
      </c>
      <c r="AV31" s="3">
        <v>0.90477483999999997</v>
      </c>
      <c r="AW31">
        <v>3601</v>
      </c>
      <c r="AX31" s="2">
        <v>307</v>
      </c>
      <c r="AY31">
        <v>3642</v>
      </c>
      <c r="BA31">
        <v>25</v>
      </c>
      <c r="BC31">
        <v>48</v>
      </c>
    </row>
    <row r="32" spans="1:55" x14ac:dyDescent="0.25">
      <c r="A32">
        <v>30</v>
      </c>
      <c r="B32">
        <v>11</v>
      </c>
      <c r="C32">
        <v>95</v>
      </c>
      <c r="D32">
        <v>93</v>
      </c>
      <c r="E32">
        <v>46</v>
      </c>
      <c r="F32">
        <v>59</v>
      </c>
      <c r="G32">
        <v>65</v>
      </c>
      <c r="H32">
        <v>39</v>
      </c>
      <c r="I32">
        <v>18</v>
      </c>
      <c r="J32">
        <v>36</v>
      </c>
      <c r="K32">
        <v>53</v>
      </c>
      <c r="O32">
        <v>30</v>
      </c>
      <c r="P32">
        <f t="shared" si="12"/>
        <v>1649</v>
      </c>
      <c r="Q32">
        <f t="shared" si="3"/>
        <v>1898</v>
      </c>
      <c r="R32">
        <f t="shared" si="4"/>
        <v>1991</v>
      </c>
      <c r="S32">
        <f t="shared" si="5"/>
        <v>2037</v>
      </c>
      <c r="T32">
        <f t="shared" si="6"/>
        <v>2096</v>
      </c>
      <c r="U32">
        <f t="shared" si="7"/>
        <v>2187</v>
      </c>
      <c r="V32">
        <f t="shared" si="8"/>
        <v>2254</v>
      </c>
      <c r="W32">
        <f t="shared" si="9"/>
        <v>2272</v>
      </c>
      <c r="X32">
        <f t="shared" si="10"/>
        <v>2436</v>
      </c>
      <c r="Y32">
        <f t="shared" si="11"/>
        <v>2532</v>
      </c>
      <c r="AH32">
        <v>30</v>
      </c>
      <c r="AI32">
        <v>3982</v>
      </c>
      <c r="AJ32">
        <f t="shared" si="0"/>
        <v>481.62179809141134</v>
      </c>
      <c r="AK32">
        <f t="shared" si="1"/>
        <v>1.9250536018526724E-3</v>
      </c>
      <c r="AL32">
        <f t="shared" si="2"/>
        <v>5.9375224451070019E-2</v>
      </c>
      <c r="AQ32">
        <v>0.23010122999999999</v>
      </c>
      <c r="AR32">
        <v>403</v>
      </c>
      <c r="AS32">
        <v>3830</v>
      </c>
      <c r="AT32" s="2">
        <v>30</v>
      </c>
      <c r="AU32">
        <v>3853</v>
      </c>
      <c r="AV32" s="3">
        <v>0.39765608000000002</v>
      </c>
      <c r="AW32">
        <v>3853</v>
      </c>
      <c r="AX32" s="2">
        <v>263</v>
      </c>
      <c r="AY32">
        <v>3644</v>
      </c>
      <c r="BA32">
        <v>3</v>
      </c>
      <c r="BC32">
        <v>37</v>
      </c>
    </row>
    <row r="33" spans="1:55" x14ac:dyDescent="0.25">
      <c r="A33">
        <v>31</v>
      </c>
      <c r="B33">
        <v>79</v>
      </c>
      <c r="C33">
        <v>49</v>
      </c>
      <c r="D33">
        <v>72</v>
      </c>
      <c r="E33">
        <v>94</v>
      </c>
      <c r="F33">
        <v>73</v>
      </c>
      <c r="G33">
        <v>73</v>
      </c>
      <c r="H33">
        <v>33</v>
      </c>
      <c r="I33">
        <v>58</v>
      </c>
      <c r="J33">
        <v>98</v>
      </c>
      <c r="K33">
        <v>47</v>
      </c>
      <c r="O33">
        <v>31</v>
      </c>
      <c r="P33">
        <f t="shared" si="12"/>
        <v>1728</v>
      </c>
      <c r="Q33">
        <f t="shared" si="3"/>
        <v>1947</v>
      </c>
      <c r="R33">
        <f t="shared" si="4"/>
        <v>2063</v>
      </c>
      <c r="S33">
        <f t="shared" si="5"/>
        <v>2157</v>
      </c>
      <c r="T33">
        <f t="shared" si="6"/>
        <v>2230</v>
      </c>
      <c r="U33">
        <f t="shared" si="7"/>
        <v>2303</v>
      </c>
      <c r="V33">
        <f t="shared" si="8"/>
        <v>2336</v>
      </c>
      <c r="W33">
        <f t="shared" si="9"/>
        <v>2394</v>
      </c>
      <c r="X33">
        <f t="shared" si="10"/>
        <v>2534</v>
      </c>
      <c r="Y33">
        <f t="shared" si="11"/>
        <v>2581</v>
      </c>
      <c r="AH33">
        <v>31</v>
      </c>
      <c r="AI33">
        <v>3665</v>
      </c>
      <c r="AJ33">
        <f t="shared" si="0"/>
        <v>523.27912687585263</v>
      </c>
      <c r="AK33">
        <f t="shared" si="1"/>
        <v>2.0915589202120987E-3</v>
      </c>
      <c r="AL33">
        <f t="shared" si="2"/>
        <v>6.146678337128212E-2</v>
      </c>
      <c r="AQ33">
        <v>0.93382293000000005</v>
      </c>
      <c r="AR33">
        <v>236</v>
      </c>
      <c r="AS33">
        <v>3770</v>
      </c>
      <c r="AT33" s="2">
        <v>31</v>
      </c>
      <c r="AU33">
        <v>3634</v>
      </c>
      <c r="AV33" s="3">
        <v>0.60108024000000004</v>
      </c>
      <c r="AW33">
        <v>3634</v>
      </c>
      <c r="AX33" s="2">
        <v>193</v>
      </c>
      <c r="AY33">
        <v>3646</v>
      </c>
      <c r="BA33">
        <v>8</v>
      </c>
      <c r="BC33">
        <v>36</v>
      </c>
    </row>
    <row r="34" spans="1:55" x14ac:dyDescent="0.25">
      <c r="A34">
        <v>32</v>
      </c>
      <c r="B34">
        <v>78</v>
      </c>
      <c r="C34">
        <v>51</v>
      </c>
      <c r="D34">
        <v>63</v>
      </c>
      <c r="E34">
        <v>79</v>
      </c>
      <c r="F34">
        <v>22</v>
      </c>
      <c r="G34">
        <v>71</v>
      </c>
      <c r="H34">
        <v>7</v>
      </c>
      <c r="I34">
        <v>87</v>
      </c>
      <c r="J34">
        <v>82</v>
      </c>
      <c r="K34">
        <v>69</v>
      </c>
      <c r="O34">
        <v>32</v>
      </c>
      <c r="P34">
        <f t="shared" si="12"/>
        <v>1806</v>
      </c>
      <c r="Q34">
        <f t="shared" si="3"/>
        <v>1998</v>
      </c>
      <c r="R34">
        <f t="shared" si="4"/>
        <v>2126</v>
      </c>
      <c r="S34">
        <f t="shared" si="5"/>
        <v>2236</v>
      </c>
      <c r="T34">
        <f t="shared" si="6"/>
        <v>2258</v>
      </c>
      <c r="U34">
        <f t="shared" si="7"/>
        <v>2374</v>
      </c>
      <c r="V34">
        <f t="shared" si="8"/>
        <v>2381</v>
      </c>
      <c r="W34">
        <f t="shared" si="9"/>
        <v>2481</v>
      </c>
      <c r="X34">
        <f t="shared" si="10"/>
        <v>2616</v>
      </c>
      <c r="Y34">
        <f t="shared" si="11"/>
        <v>2685</v>
      </c>
      <c r="AH34">
        <v>32</v>
      </c>
      <c r="AI34">
        <v>3790</v>
      </c>
      <c r="AJ34">
        <f t="shared" si="0"/>
        <v>506.02058047493404</v>
      </c>
      <c r="AK34">
        <f t="shared" si="1"/>
        <v>2.0225761062209343E-3</v>
      </c>
      <c r="AL34">
        <f t="shared" si="2"/>
        <v>6.348935947750306E-2</v>
      </c>
      <c r="AQ34">
        <v>0.89364171000000003</v>
      </c>
      <c r="AR34">
        <v>291</v>
      </c>
      <c r="AS34">
        <v>3948</v>
      </c>
      <c r="AT34" s="2">
        <v>32</v>
      </c>
      <c r="AU34">
        <v>4002</v>
      </c>
      <c r="AV34" s="3">
        <v>0.38210416000000003</v>
      </c>
      <c r="AW34">
        <v>4002</v>
      </c>
      <c r="AX34" s="2">
        <v>163</v>
      </c>
      <c r="AY34">
        <v>3651</v>
      </c>
      <c r="BA34">
        <v>44</v>
      </c>
      <c r="BC34">
        <v>19</v>
      </c>
    </row>
    <row r="35" spans="1:55" x14ac:dyDescent="0.25">
      <c r="A35">
        <v>33</v>
      </c>
      <c r="B35">
        <v>57</v>
      </c>
      <c r="C35">
        <v>65</v>
      </c>
      <c r="D35">
        <v>62</v>
      </c>
      <c r="E35">
        <v>68</v>
      </c>
      <c r="F35">
        <v>70</v>
      </c>
      <c r="G35">
        <v>26</v>
      </c>
      <c r="H35">
        <v>75</v>
      </c>
      <c r="I35">
        <v>30</v>
      </c>
      <c r="J35">
        <v>44</v>
      </c>
      <c r="K35">
        <v>11</v>
      </c>
      <c r="O35">
        <v>33</v>
      </c>
      <c r="P35">
        <f t="shared" si="12"/>
        <v>1863</v>
      </c>
      <c r="Q35">
        <f t="shared" si="3"/>
        <v>2063</v>
      </c>
      <c r="R35">
        <f t="shared" si="4"/>
        <v>2188</v>
      </c>
      <c r="S35">
        <f t="shared" si="5"/>
        <v>2304</v>
      </c>
      <c r="T35">
        <f t="shared" si="6"/>
        <v>2374</v>
      </c>
      <c r="U35">
        <f t="shared" si="7"/>
        <v>2400</v>
      </c>
      <c r="V35">
        <f t="shared" si="8"/>
        <v>2475</v>
      </c>
      <c r="W35">
        <f t="shared" si="9"/>
        <v>2511</v>
      </c>
      <c r="X35">
        <f t="shared" si="10"/>
        <v>2660</v>
      </c>
      <c r="Y35">
        <f t="shared" si="11"/>
        <v>2696</v>
      </c>
      <c r="AH35">
        <v>33</v>
      </c>
      <c r="AI35">
        <v>3835</v>
      </c>
      <c r="AJ35">
        <f t="shared" si="0"/>
        <v>500.08292046936117</v>
      </c>
      <c r="AK35">
        <f t="shared" si="1"/>
        <v>1.9988431401766213E-3</v>
      </c>
      <c r="AL35">
        <f t="shared" si="2"/>
        <v>6.5488202617679681E-2</v>
      </c>
      <c r="AQ35">
        <v>0.48873370999999999</v>
      </c>
      <c r="AR35">
        <v>370</v>
      </c>
      <c r="AS35">
        <v>3739</v>
      </c>
      <c r="AT35" s="2">
        <v>33</v>
      </c>
      <c r="AU35">
        <v>3651</v>
      </c>
      <c r="AV35" s="3">
        <v>0.55264323999999998</v>
      </c>
      <c r="AW35">
        <v>3651</v>
      </c>
      <c r="AX35" s="2">
        <v>319</v>
      </c>
      <c r="AY35">
        <v>3651</v>
      </c>
      <c r="BA35">
        <v>5</v>
      </c>
      <c r="BC35">
        <v>20</v>
      </c>
    </row>
    <row r="36" spans="1:55" x14ac:dyDescent="0.25">
      <c r="A36">
        <v>34</v>
      </c>
      <c r="B36">
        <v>47</v>
      </c>
      <c r="C36">
        <v>17</v>
      </c>
      <c r="D36">
        <v>30</v>
      </c>
      <c r="E36">
        <v>49</v>
      </c>
      <c r="F36">
        <v>52</v>
      </c>
      <c r="G36">
        <v>97</v>
      </c>
      <c r="H36">
        <v>43</v>
      </c>
      <c r="I36">
        <v>73</v>
      </c>
      <c r="J36">
        <v>70</v>
      </c>
      <c r="K36">
        <v>31</v>
      </c>
      <c r="O36">
        <v>34</v>
      </c>
      <c r="P36">
        <f t="shared" si="12"/>
        <v>1910</v>
      </c>
      <c r="Q36">
        <f t="shared" si="3"/>
        <v>2080</v>
      </c>
      <c r="R36">
        <f t="shared" si="4"/>
        <v>2218</v>
      </c>
      <c r="S36">
        <f t="shared" si="5"/>
        <v>2353</v>
      </c>
      <c r="T36">
        <f t="shared" si="6"/>
        <v>2426</v>
      </c>
      <c r="U36">
        <f t="shared" si="7"/>
        <v>2523</v>
      </c>
      <c r="V36">
        <f t="shared" si="8"/>
        <v>2566</v>
      </c>
      <c r="W36">
        <f t="shared" si="9"/>
        <v>2639</v>
      </c>
      <c r="X36">
        <f t="shared" si="10"/>
        <v>2730</v>
      </c>
      <c r="Y36">
        <f t="shared" si="11"/>
        <v>2761</v>
      </c>
      <c r="AH36">
        <v>34</v>
      </c>
      <c r="AI36">
        <v>3788</v>
      </c>
      <c r="AJ36">
        <f t="shared" si="0"/>
        <v>506.28775079197464</v>
      </c>
      <c r="AK36">
        <f t="shared" si="1"/>
        <v>2.0236439922326666E-3</v>
      </c>
      <c r="AL36">
        <f t="shared" si="2"/>
        <v>6.7511846609912343E-2</v>
      </c>
      <c r="AQ36">
        <v>0.21731269</v>
      </c>
      <c r="AR36">
        <v>31</v>
      </c>
      <c r="AS36">
        <v>3817</v>
      </c>
      <c r="AT36" s="2">
        <v>34</v>
      </c>
      <c r="AU36">
        <v>3803</v>
      </c>
      <c r="AV36" s="3">
        <v>0.43769348000000002</v>
      </c>
      <c r="AW36">
        <v>3803</v>
      </c>
      <c r="AX36" s="2">
        <v>392</v>
      </c>
      <c r="AY36">
        <v>3651</v>
      </c>
      <c r="BA36">
        <v>41</v>
      </c>
      <c r="BC36">
        <v>45</v>
      </c>
    </row>
    <row r="37" spans="1:55" x14ac:dyDescent="0.25">
      <c r="A37">
        <v>35</v>
      </c>
      <c r="B37">
        <v>91</v>
      </c>
      <c r="C37">
        <v>91</v>
      </c>
      <c r="D37">
        <v>91</v>
      </c>
      <c r="E37">
        <v>85</v>
      </c>
      <c r="F37">
        <v>70</v>
      </c>
      <c r="G37">
        <v>50</v>
      </c>
      <c r="H37">
        <v>92</v>
      </c>
      <c r="I37">
        <v>71</v>
      </c>
      <c r="J37">
        <v>67</v>
      </c>
      <c r="K37">
        <v>69</v>
      </c>
      <c r="O37">
        <v>35</v>
      </c>
      <c r="P37">
        <f t="shared" si="12"/>
        <v>2001</v>
      </c>
      <c r="Q37">
        <f t="shared" si="3"/>
        <v>2171</v>
      </c>
      <c r="R37">
        <f t="shared" si="4"/>
        <v>2309</v>
      </c>
      <c r="S37">
        <f t="shared" si="5"/>
        <v>2438</v>
      </c>
      <c r="T37">
        <f t="shared" si="6"/>
        <v>2508</v>
      </c>
      <c r="U37">
        <f t="shared" si="7"/>
        <v>2573</v>
      </c>
      <c r="V37">
        <f t="shared" si="8"/>
        <v>2665</v>
      </c>
      <c r="W37">
        <f t="shared" si="9"/>
        <v>2736</v>
      </c>
      <c r="X37">
        <f t="shared" si="10"/>
        <v>2803</v>
      </c>
      <c r="Y37">
        <f t="shared" si="11"/>
        <v>2872</v>
      </c>
      <c r="AH37">
        <v>35</v>
      </c>
      <c r="AI37">
        <v>3770</v>
      </c>
      <c r="AJ37">
        <f t="shared" si="0"/>
        <v>508.7050397877984</v>
      </c>
      <c r="AK37">
        <f t="shared" si="1"/>
        <v>2.0333059529382869E-3</v>
      </c>
      <c r="AL37">
        <f t="shared" si="2"/>
        <v>6.9545152562850626E-2</v>
      </c>
      <c r="AQ37">
        <v>0.67751079999999997</v>
      </c>
      <c r="AR37">
        <v>210</v>
      </c>
      <c r="AS37">
        <v>3875</v>
      </c>
      <c r="AT37" s="2">
        <v>35</v>
      </c>
      <c r="AU37">
        <v>3875</v>
      </c>
      <c r="AV37" s="3">
        <v>0.78004032000000001</v>
      </c>
      <c r="AW37">
        <v>3875</v>
      </c>
      <c r="AX37" s="2">
        <v>90</v>
      </c>
      <c r="AY37">
        <v>3653</v>
      </c>
      <c r="BA37">
        <v>14</v>
      </c>
      <c r="BC37">
        <v>15</v>
      </c>
    </row>
    <row r="38" spans="1:55" x14ac:dyDescent="0.25">
      <c r="A38">
        <v>36</v>
      </c>
      <c r="B38">
        <v>92</v>
      </c>
      <c r="C38">
        <v>23</v>
      </c>
      <c r="D38">
        <v>96</v>
      </c>
      <c r="E38">
        <v>87</v>
      </c>
      <c r="F38">
        <v>45</v>
      </c>
      <c r="G38">
        <v>43</v>
      </c>
      <c r="H38">
        <v>44</v>
      </c>
      <c r="I38">
        <v>5</v>
      </c>
      <c r="J38">
        <v>74</v>
      </c>
      <c r="K38">
        <v>67</v>
      </c>
      <c r="O38">
        <v>36</v>
      </c>
      <c r="P38">
        <f t="shared" si="12"/>
        <v>2093</v>
      </c>
      <c r="Q38">
        <f t="shared" si="3"/>
        <v>2194</v>
      </c>
      <c r="R38">
        <f t="shared" si="4"/>
        <v>2405</v>
      </c>
      <c r="S38">
        <f t="shared" si="5"/>
        <v>2525</v>
      </c>
      <c r="T38">
        <f t="shared" si="6"/>
        <v>2570</v>
      </c>
      <c r="U38">
        <f t="shared" si="7"/>
        <v>2616</v>
      </c>
      <c r="V38">
        <f t="shared" si="8"/>
        <v>2709</v>
      </c>
      <c r="W38">
        <f t="shared" si="9"/>
        <v>2741</v>
      </c>
      <c r="X38">
        <f t="shared" si="10"/>
        <v>2877</v>
      </c>
      <c r="Y38">
        <f t="shared" si="11"/>
        <v>2944</v>
      </c>
      <c r="AH38">
        <v>36</v>
      </c>
      <c r="AI38">
        <v>3702</v>
      </c>
      <c r="AJ38">
        <f t="shared" si="0"/>
        <v>518.04916261480275</v>
      </c>
      <c r="AK38">
        <f t="shared" si="1"/>
        <v>2.0706546306259702E-3</v>
      </c>
      <c r="AL38">
        <f t="shared" si="2"/>
        <v>7.1615807193476599E-2</v>
      </c>
      <c r="AQ38">
        <v>0.79661130999999996</v>
      </c>
      <c r="AR38">
        <v>210</v>
      </c>
      <c r="AS38">
        <v>3875</v>
      </c>
      <c r="AT38" s="2">
        <v>36</v>
      </c>
      <c r="AU38">
        <v>3875</v>
      </c>
      <c r="AV38" s="3">
        <v>0.19800710999999999</v>
      </c>
      <c r="AW38">
        <v>3875</v>
      </c>
      <c r="AX38" s="2">
        <v>76</v>
      </c>
      <c r="AY38">
        <v>3654</v>
      </c>
      <c r="BA38">
        <v>35</v>
      </c>
      <c r="BC38">
        <v>10</v>
      </c>
    </row>
    <row r="39" spans="1:55" x14ac:dyDescent="0.25">
      <c r="A39">
        <v>37</v>
      </c>
      <c r="B39">
        <v>94</v>
      </c>
      <c r="C39">
        <v>17</v>
      </c>
      <c r="D39">
        <v>53</v>
      </c>
      <c r="E39">
        <v>17</v>
      </c>
      <c r="F39">
        <v>45</v>
      </c>
      <c r="G39">
        <v>7</v>
      </c>
      <c r="H39">
        <v>35</v>
      </c>
      <c r="I39">
        <v>77</v>
      </c>
      <c r="J39">
        <v>61</v>
      </c>
      <c r="K39">
        <v>3</v>
      </c>
      <c r="O39">
        <v>37</v>
      </c>
      <c r="P39">
        <f t="shared" si="12"/>
        <v>2187</v>
      </c>
      <c r="Q39">
        <f t="shared" si="3"/>
        <v>2211</v>
      </c>
      <c r="R39">
        <f t="shared" si="4"/>
        <v>2458</v>
      </c>
      <c r="S39">
        <f t="shared" si="5"/>
        <v>2542</v>
      </c>
      <c r="T39">
        <f t="shared" si="6"/>
        <v>2615</v>
      </c>
      <c r="U39">
        <f t="shared" si="7"/>
        <v>2623</v>
      </c>
      <c r="V39">
        <f t="shared" si="8"/>
        <v>2744</v>
      </c>
      <c r="W39">
        <f t="shared" si="9"/>
        <v>2821</v>
      </c>
      <c r="X39">
        <f t="shared" si="10"/>
        <v>2938</v>
      </c>
      <c r="Y39">
        <f t="shared" si="11"/>
        <v>2947</v>
      </c>
      <c r="AH39">
        <v>37</v>
      </c>
      <c r="AI39">
        <v>3781</v>
      </c>
      <c r="AJ39">
        <f t="shared" si="0"/>
        <v>507.22507273208146</v>
      </c>
      <c r="AK39">
        <f t="shared" si="1"/>
        <v>2.0273904899702042E-3</v>
      </c>
      <c r="AL39">
        <f t="shared" si="2"/>
        <v>7.3643197683446807E-2</v>
      </c>
      <c r="AQ39">
        <v>0.62772530000000004</v>
      </c>
      <c r="AR39">
        <v>438</v>
      </c>
      <c r="AS39">
        <v>3731</v>
      </c>
      <c r="AT39" s="2">
        <v>37</v>
      </c>
      <c r="AU39">
        <v>3893</v>
      </c>
      <c r="AV39" s="3">
        <v>0.29658477999999999</v>
      </c>
      <c r="AW39">
        <v>3893</v>
      </c>
      <c r="AX39" s="2">
        <v>301</v>
      </c>
      <c r="AY39">
        <v>3658</v>
      </c>
      <c r="BA39">
        <v>31</v>
      </c>
      <c r="BC39">
        <v>5</v>
      </c>
    </row>
    <row r="40" spans="1:55" x14ac:dyDescent="0.25">
      <c r="A40">
        <v>38</v>
      </c>
      <c r="B40">
        <v>33</v>
      </c>
      <c r="C40">
        <v>19</v>
      </c>
      <c r="D40">
        <v>19</v>
      </c>
      <c r="E40">
        <v>99</v>
      </c>
      <c r="F40">
        <v>37</v>
      </c>
      <c r="G40">
        <v>78</v>
      </c>
      <c r="H40">
        <v>2</v>
      </c>
      <c r="I40">
        <v>60</v>
      </c>
      <c r="J40">
        <v>38</v>
      </c>
      <c r="K40">
        <v>21</v>
      </c>
      <c r="O40">
        <v>38</v>
      </c>
      <c r="P40">
        <f t="shared" si="12"/>
        <v>2220</v>
      </c>
      <c r="Q40">
        <f t="shared" si="3"/>
        <v>2239</v>
      </c>
      <c r="R40">
        <f t="shared" si="4"/>
        <v>2477</v>
      </c>
      <c r="S40">
        <f t="shared" si="5"/>
        <v>2641</v>
      </c>
      <c r="T40">
        <f t="shared" si="6"/>
        <v>2678</v>
      </c>
      <c r="U40">
        <f t="shared" si="7"/>
        <v>2756</v>
      </c>
      <c r="V40">
        <f t="shared" si="8"/>
        <v>2758</v>
      </c>
      <c r="W40">
        <f t="shared" si="9"/>
        <v>2881</v>
      </c>
      <c r="X40">
        <f t="shared" si="10"/>
        <v>2976</v>
      </c>
      <c r="Y40">
        <f t="shared" si="11"/>
        <v>2997</v>
      </c>
      <c r="AH40">
        <v>38</v>
      </c>
      <c r="AI40">
        <v>3831</v>
      </c>
      <c r="AJ40">
        <f t="shared" si="0"/>
        <v>500.60506395197075</v>
      </c>
      <c r="AK40">
        <f t="shared" si="1"/>
        <v>2.0009301599001154E-3</v>
      </c>
      <c r="AL40">
        <f t="shared" si="2"/>
        <v>7.5644127843346926E-2</v>
      </c>
      <c r="AQ40">
        <v>0.50663674000000003</v>
      </c>
      <c r="AR40">
        <v>334</v>
      </c>
      <c r="AS40">
        <v>3756</v>
      </c>
      <c r="AT40" s="2">
        <v>38</v>
      </c>
      <c r="AU40">
        <v>3868</v>
      </c>
      <c r="AV40" s="3">
        <v>0.88091766999999999</v>
      </c>
      <c r="AW40">
        <v>3868</v>
      </c>
      <c r="AX40" s="2">
        <v>324</v>
      </c>
      <c r="AY40">
        <v>3658</v>
      </c>
      <c r="BA40">
        <v>15</v>
      </c>
      <c r="BC40">
        <v>26</v>
      </c>
    </row>
    <row r="41" spans="1:55" x14ac:dyDescent="0.25">
      <c r="A41">
        <v>39</v>
      </c>
      <c r="B41">
        <v>52</v>
      </c>
      <c r="C41">
        <v>28</v>
      </c>
      <c r="D41">
        <v>40</v>
      </c>
      <c r="E41">
        <v>76</v>
      </c>
      <c r="F41">
        <v>2</v>
      </c>
      <c r="G41">
        <v>27</v>
      </c>
      <c r="H41">
        <v>96</v>
      </c>
      <c r="I41">
        <v>6</v>
      </c>
      <c r="J41">
        <v>87</v>
      </c>
      <c r="K41">
        <v>29</v>
      </c>
      <c r="O41">
        <v>39</v>
      </c>
      <c r="P41">
        <f t="shared" si="12"/>
        <v>2272</v>
      </c>
      <c r="Q41">
        <f t="shared" si="3"/>
        <v>2300</v>
      </c>
      <c r="R41">
        <f t="shared" si="4"/>
        <v>2517</v>
      </c>
      <c r="S41">
        <f t="shared" si="5"/>
        <v>2717</v>
      </c>
      <c r="T41">
        <f t="shared" si="6"/>
        <v>2719</v>
      </c>
      <c r="U41">
        <f t="shared" si="7"/>
        <v>2783</v>
      </c>
      <c r="V41">
        <f t="shared" si="8"/>
        <v>2879</v>
      </c>
      <c r="W41">
        <f t="shared" si="9"/>
        <v>2887</v>
      </c>
      <c r="X41">
        <f t="shared" si="10"/>
        <v>3063</v>
      </c>
      <c r="Y41">
        <f t="shared" si="11"/>
        <v>3092</v>
      </c>
      <c r="AH41">
        <v>39</v>
      </c>
      <c r="AI41">
        <v>3715</v>
      </c>
      <c r="AJ41">
        <f t="shared" si="0"/>
        <v>516.23633916554513</v>
      </c>
      <c r="AK41">
        <f t="shared" si="1"/>
        <v>2.0634087328606572E-3</v>
      </c>
      <c r="AL41">
        <f t="shared" si="2"/>
        <v>7.7707536576207589E-2</v>
      </c>
      <c r="AQ41">
        <v>0.94064217999999999</v>
      </c>
      <c r="AR41">
        <v>153</v>
      </c>
      <c r="AS41">
        <v>3931</v>
      </c>
      <c r="AT41" s="2">
        <v>39</v>
      </c>
      <c r="AU41">
        <v>3785</v>
      </c>
      <c r="AV41" s="3">
        <v>0.67522126000000005</v>
      </c>
      <c r="AW41">
        <v>3785</v>
      </c>
      <c r="AX41" s="2">
        <v>46</v>
      </c>
      <c r="AY41">
        <v>3660</v>
      </c>
      <c r="BA41">
        <v>27</v>
      </c>
      <c r="BC41">
        <v>4</v>
      </c>
    </row>
    <row r="42" spans="1:55" x14ac:dyDescent="0.25">
      <c r="A42">
        <v>40</v>
      </c>
      <c r="B42">
        <v>12</v>
      </c>
      <c r="C42">
        <v>70</v>
      </c>
      <c r="D42">
        <v>14</v>
      </c>
      <c r="E42">
        <v>81</v>
      </c>
      <c r="F42">
        <v>90</v>
      </c>
      <c r="G42">
        <v>50</v>
      </c>
      <c r="H42">
        <v>28</v>
      </c>
      <c r="I42">
        <v>61</v>
      </c>
      <c r="J42">
        <v>35</v>
      </c>
      <c r="K42">
        <v>28</v>
      </c>
      <c r="O42">
        <v>40</v>
      </c>
      <c r="P42">
        <f t="shared" si="12"/>
        <v>2284</v>
      </c>
      <c r="Q42">
        <f t="shared" si="3"/>
        <v>2370</v>
      </c>
      <c r="R42">
        <f t="shared" si="4"/>
        <v>2531</v>
      </c>
      <c r="S42">
        <f t="shared" si="5"/>
        <v>2798</v>
      </c>
      <c r="T42">
        <f t="shared" si="6"/>
        <v>2888</v>
      </c>
      <c r="U42">
        <f t="shared" si="7"/>
        <v>2938</v>
      </c>
      <c r="V42">
        <f t="shared" si="8"/>
        <v>2966</v>
      </c>
      <c r="W42">
        <f t="shared" si="9"/>
        <v>3027</v>
      </c>
      <c r="X42">
        <f t="shared" si="10"/>
        <v>3098</v>
      </c>
      <c r="Y42">
        <f t="shared" si="11"/>
        <v>3126</v>
      </c>
      <c r="AH42">
        <v>40</v>
      </c>
      <c r="AI42">
        <v>3808</v>
      </c>
      <c r="AJ42">
        <f t="shared" si="0"/>
        <v>503.62867647058823</v>
      </c>
      <c r="AK42">
        <f t="shared" si="1"/>
        <v>2.0130156099205203E-3</v>
      </c>
      <c r="AL42">
        <f t="shared" si="2"/>
        <v>7.9720552186128113E-2</v>
      </c>
      <c r="AQ42">
        <v>0.86390661999999996</v>
      </c>
      <c r="AR42">
        <v>399</v>
      </c>
      <c r="AS42">
        <v>3979</v>
      </c>
      <c r="AT42" s="2">
        <v>40</v>
      </c>
      <c r="AU42">
        <v>3923</v>
      </c>
      <c r="AV42" s="3">
        <v>8.7903739999999994E-2</v>
      </c>
      <c r="AW42">
        <v>3923</v>
      </c>
      <c r="AX42" s="2">
        <v>44</v>
      </c>
      <c r="AY42">
        <v>3661</v>
      </c>
      <c r="BA42">
        <v>28</v>
      </c>
      <c r="BC42">
        <v>6</v>
      </c>
    </row>
    <row r="43" spans="1:55" x14ac:dyDescent="0.25">
      <c r="A43">
        <v>41</v>
      </c>
      <c r="B43">
        <v>37</v>
      </c>
      <c r="C43">
        <v>67</v>
      </c>
      <c r="D43">
        <v>16</v>
      </c>
      <c r="E43">
        <v>52</v>
      </c>
      <c r="F43">
        <v>2</v>
      </c>
      <c r="G43">
        <v>70</v>
      </c>
      <c r="H43">
        <v>13</v>
      </c>
      <c r="I43">
        <v>23</v>
      </c>
      <c r="J43">
        <v>37</v>
      </c>
      <c r="K43">
        <v>45</v>
      </c>
      <c r="O43">
        <v>41</v>
      </c>
      <c r="P43">
        <f t="shared" si="12"/>
        <v>2321</v>
      </c>
      <c r="Q43">
        <f t="shared" si="3"/>
        <v>2437</v>
      </c>
      <c r="R43">
        <f t="shared" si="4"/>
        <v>2547</v>
      </c>
      <c r="S43">
        <f t="shared" si="5"/>
        <v>2850</v>
      </c>
      <c r="T43">
        <f t="shared" si="6"/>
        <v>2890</v>
      </c>
      <c r="U43">
        <f t="shared" si="7"/>
        <v>3008</v>
      </c>
      <c r="V43">
        <f t="shared" si="8"/>
        <v>3021</v>
      </c>
      <c r="W43">
        <f t="shared" si="9"/>
        <v>3050</v>
      </c>
      <c r="X43">
        <f t="shared" si="10"/>
        <v>3135</v>
      </c>
      <c r="Y43">
        <f t="shared" si="11"/>
        <v>3180</v>
      </c>
      <c r="AH43">
        <v>41</v>
      </c>
      <c r="AI43">
        <v>3797</v>
      </c>
      <c r="AJ43">
        <f t="shared" si="0"/>
        <v>505.08770081643405</v>
      </c>
      <c r="AK43">
        <f t="shared" si="1"/>
        <v>2.0188473643869744E-3</v>
      </c>
      <c r="AL43">
        <f t="shared" si="2"/>
        <v>8.1739399550515082E-2</v>
      </c>
      <c r="AQ43">
        <v>0.10577101</v>
      </c>
      <c r="AR43">
        <v>364</v>
      </c>
      <c r="AS43">
        <v>3781</v>
      </c>
      <c r="AT43" s="2">
        <v>41</v>
      </c>
      <c r="AU43">
        <v>3847</v>
      </c>
      <c r="AV43" s="3">
        <v>0.15057652999999999</v>
      </c>
      <c r="AW43">
        <v>3847</v>
      </c>
      <c r="AX43" s="2">
        <v>72</v>
      </c>
      <c r="AY43">
        <v>3663</v>
      </c>
      <c r="BA43">
        <v>30</v>
      </c>
      <c r="BC43">
        <v>46</v>
      </c>
    </row>
    <row r="44" spans="1:55" x14ac:dyDescent="0.25">
      <c r="A44">
        <v>42</v>
      </c>
      <c r="B44">
        <v>47</v>
      </c>
      <c r="C44">
        <v>40</v>
      </c>
      <c r="D44">
        <v>66</v>
      </c>
      <c r="E44">
        <v>24</v>
      </c>
      <c r="F44">
        <v>40</v>
      </c>
      <c r="G44">
        <v>65</v>
      </c>
      <c r="H44">
        <v>67</v>
      </c>
      <c r="I44">
        <v>29</v>
      </c>
      <c r="J44">
        <v>98</v>
      </c>
      <c r="K44">
        <v>2</v>
      </c>
      <c r="O44">
        <v>42</v>
      </c>
      <c r="P44">
        <f t="shared" si="12"/>
        <v>2368</v>
      </c>
      <c r="Q44">
        <f t="shared" si="3"/>
        <v>2477</v>
      </c>
      <c r="R44">
        <f t="shared" si="4"/>
        <v>2613</v>
      </c>
      <c r="S44">
        <f t="shared" si="5"/>
        <v>2874</v>
      </c>
      <c r="T44">
        <f t="shared" si="6"/>
        <v>2930</v>
      </c>
      <c r="U44">
        <f t="shared" si="7"/>
        <v>3073</v>
      </c>
      <c r="V44">
        <f t="shared" si="8"/>
        <v>3140</v>
      </c>
      <c r="W44">
        <f t="shared" si="9"/>
        <v>3169</v>
      </c>
      <c r="X44">
        <f t="shared" si="10"/>
        <v>3267</v>
      </c>
      <c r="Y44">
        <f t="shared" si="11"/>
        <v>3269</v>
      </c>
      <c r="AH44">
        <v>42</v>
      </c>
      <c r="AI44">
        <v>3830</v>
      </c>
      <c r="AJ44">
        <f t="shared" si="0"/>
        <v>500.73577023498694</v>
      </c>
      <c r="AK44">
        <f t="shared" si="1"/>
        <v>2.0014525959731961E-3</v>
      </c>
      <c r="AL44">
        <f t="shared" si="2"/>
        <v>8.3740852146488284E-2</v>
      </c>
      <c r="AQ44">
        <v>0.28270471000000003</v>
      </c>
      <c r="AR44">
        <v>227</v>
      </c>
      <c r="AS44">
        <v>3743</v>
      </c>
      <c r="AT44" s="2">
        <v>42</v>
      </c>
      <c r="AU44">
        <v>3767</v>
      </c>
      <c r="AV44" s="3">
        <v>0.99789751000000004</v>
      </c>
      <c r="AW44">
        <v>3767</v>
      </c>
      <c r="AX44" s="2">
        <v>191</v>
      </c>
      <c r="AY44">
        <v>3668</v>
      </c>
      <c r="BA44">
        <v>12</v>
      </c>
      <c r="BC44">
        <v>47</v>
      </c>
    </row>
    <row r="45" spans="1:55" x14ac:dyDescent="0.25">
      <c r="A45">
        <v>43</v>
      </c>
      <c r="B45">
        <v>39</v>
      </c>
      <c r="C45">
        <v>81</v>
      </c>
      <c r="D45">
        <v>54</v>
      </c>
      <c r="E45">
        <v>57</v>
      </c>
      <c r="F45">
        <v>70</v>
      </c>
      <c r="G45">
        <v>96</v>
      </c>
      <c r="H45">
        <v>61</v>
      </c>
      <c r="I45">
        <v>2</v>
      </c>
      <c r="J45">
        <v>26</v>
      </c>
      <c r="K45">
        <v>53</v>
      </c>
      <c r="O45">
        <v>43</v>
      </c>
      <c r="P45">
        <f t="shared" si="12"/>
        <v>2407</v>
      </c>
      <c r="Q45">
        <f t="shared" si="3"/>
        <v>2558</v>
      </c>
      <c r="R45">
        <f t="shared" si="4"/>
        <v>2667</v>
      </c>
      <c r="S45">
        <f t="shared" si="5"/>
        <v>2931</v>
      </c>
      <c r="T45">
        <f t="shared" si="6"/>
        <v>3001</v>
      </c>
      <c r="U45">
        <f t="shared" si="7"/>
        <v>3169</v>
      </c>
      <c r="V45">
        <f t="shared" si="8"/>
        <v>3230</v>
      </c>
      <c r="W45">
        <f t="shared" si="9"/>
        <v>3232</v>
      </c>
      <c r="X45">
        <f t="shared" si="10"/>
        <v>3293</v>
      </c>
      <c r="Y45">
        <f t="shared" si="11"/>
        <v>3346</v>
      </c>
      <c r="AH45">
        <v>43</v>
      </c>
      <c r="AI45">
        <v>3771</v>
      </c>
      <c r="AJ45">
        <f t="shared" si="0"/>
        <v>508.57014054627422</v>
      </c>
      <c r="AK45">
        <f t="shared" si="1"/>
        <v>2.0327667575118914E-3</v>
      </c>
      <c r="AL45">
        <f t="shared" si="2"/>
        <v>8.5773618904000176E-2</v>
      </c>
      <c r="AQ45">
        <v>0.23182303000000001</v>
      </c>
      <c r="AR45">
        <v>195</v>
      </c>
      <c r="AS45">
        <v>3750</v>
      </c>
      <c r="AT45" s="2">
        <v>43</v>
      </c>
      <c r="AU45">
        <v>3822</v>
      </c>
      <c r="AV45" s="3">
        <v>0.53741651999999995</v>
      </c>
      <c r="AW45">
        <v>3822</v>
      </c>
      <c r="AX45" s="2">
        <v>146</v>
      </c>
      <c r="AY45">
        <v>3670</v>
      </c>
      <c r="BA45">
        <v>29</v>
      </c>
      <c r="BC45">
        <v>50</v>
      </c>
    </row>
    <row r="46" spans="1:55" x14ac:dyDescent="0.25">
      <c r="A46">
        <v>44</v>
      </c>
      <c r="B46">
        <v>4</v>
      </c>
      <c r="C46">
        <v>54</v>
      </c>
      <c r="D46">
        <v>54</v>
      </c>
      <c r="E46">
        <v>8</v>
      </c>
      <c r="F46">
        <v>93</v>
      </c>
      <c r="G46">
        <v>27</v>
      </c>
      <c r="H46">
        <v>71</v>
      </c>
      <c r="I46">
        <v>67</v>
      </c>
      <c r="J46">
        <v>49</v>
      </c>
      <c r="K46">
        <v>36</v>
      </c>
      <c r="O46">
        <v>44</v>
      </c>
      <c r="P46">
        <f t="shared" si="12"/>
        <v>2411</v>
      </c>
      <c r="Q46">
        <f t="shared" si="3"/>
        <v>2612</v>
      </c>
      <c r="R46">
        <f t="shared" si="4"/>
        <v>2721</v>
      </c>
      <c r="S46">
        <f t="shared" si="5"/>
        <v>2939</v>
      </c>
      <c r="T46">
        <f t="shared" si="6"/>
        <v>3094</v>
      </c>
      <c r="U46">
        <f t="shared" si="7"/>
        <v>3196</v>
      </c>
      <c r="V46">
        <f t="shared" si="8"/>
        <v>3301</v>
      </c>
      <c r="W46">
        <f t="shared" si="9"/>
        <v>3368</v>
      </c>
      <c r="X46">
        <f t="shared" si="10"/>
        <v>3417</v>
      </c>
      <c r="Y46">
        <f t="shared" si="11"/>
        <v>3453</v>
      </c>
      <c r="AH46">
        <v>44</v>
      </c>
      <c r="AI46">
        <v>3730</v>
      </c>
      <c r="AJ46">
        <f t="shared" si="0"/>
        <v>514.16032171581764</v>
      </c>
      <c r="AK46">
        <f t="shared" si="1"/>
        <v>2.0551108425140322E-3</v>
      </c>
      <c r="AL46">
        <f t="shared" si="2"/>
        <v>8.7828729746514206E-2</v>
      </c>
      <c r="AQ46">
        <v>0.38220978</v>
      </c>
      <c r="AR46">
        <v>373</v>
      </c>
      <c r="AS46">
        <v>3840</v>
      </c>
      <c r="AT46" s="2">
        <v>44</v>
      </c>
      <c r="AU46">
        <v>3690</v>
      </c>
      <c r="AV46" s="3">
        <v>0.11191368</v>
      </c>
      <c r="AW46">
        <v>3690</v>
      </c>
      <c r="AX46" s="2">
        <v>41</v>
      </c>
      <c r="AY46">
        <v>3671</v>
      </c>
      <c r="BA46">
        <v>19</v>
      </c>
      <c r="BC46">
        <v>2</v>
      </c>
    </row>
    <row r="47" spans="1:55" x14ac:dyDescent="0.25">
      <c r="A47">
        <v>45</v>
      </c>
      <c r="B47">
        <v>50</v>
      </c>
      <c r="C47">
        <v>52</v>
      </c>
      <c r="D47">
        <v>64</v>
      </c>
      <c r="E47">
        <v>36</v>
      </c>
      <c r="F47">
        <v>44</v>
      </c>
      <c r="G47">
        <v>66</v>
      </c>
      <c r="H47">
        <v>20</v>
      </c>
      <c r="I47">
        <v>69</v>
      </c>
      <c r="J47">
        <v>12</v>
      </c>
      <c r="K47">
        <v>5</v>
      </c>
      <c r="O47">
        <v>45</v>
      </c>
      <c r="P47">
        <f t="shared" si="12"/>
        <v>2461</v>
      </c>
      <c r="Q47">
        <f t="shared" si="3"/>
        <v>2664</v>
      </c>
      <c r="R47">
        <f t="shared" si="4"/>
        <v>2785</v>
      </c>
      <c r="S47">
        <f t="shared" si="5"/>
        <v>2975</v>
      </c>
      <c r="T47">
        <f t="shared" si="6"/>
        <v>3138</v>
      </c>
      <c r="U47">
        <f t="shared" si="7"/>
        <v>3262</v>
      </c>
      <c r="V47">
        <f t="shared" si="8"/>
        <v>3321</v>
      </c>
      <c r="W47">
        <f t="shared" si="9"/>
        <v>3437</v>
      </c>
      <c r="X47">
        <f t="shared" si="10"/>
        <v>3449</v>
      </c>
      <c r="Y47">
        <f t="shared" si="11"/>
        <v>3458</v>
      </c>
      <c r="AH47">
        <v>45</v>
      </c>
      <c r="AI47">
        <v>3863</v>
      </c>
      <c r="AJ47">
        <f t="shared" si="0"/>
        <v>496.45819311416</v>
      </c>
      <c r="AK47">
        <f t="shared" si="1"/>
        <v>1.9843550200821492E-3</v>
      </c>
      <c r="AL47">
        <f t="shared" si="2"/>
        <v>8.9813084766596357E-2</v>
      </c>
      <c r="AQ47">
        <v>0.62532443000000004</v>
      </c>
      <c r="AR47">
        <v>387</v>
      </c>
      <c r="AS47">
        <v>3685</v>
      </c>
      <c r="AT47" s="2">
        <v>45</v>
      </c>
      <c r="AU47">
        <v>3778</v>
      </c>
      <c r="AV47" s="3">
        <v>0.49675958999999997</v>
      </c>
      <c r="AW47">
        <v>3778</v>
      </c>
      <c r="AX47" s="2">
        <v>311</v>
      </c>
      <c r="AY47">
        <v>3673</v>
      </c>
      <c r="BA47">
        <v>37</v>
      </c>
      <c r="BC47">
        <v>38</v>
      </c>
    </row>
    <row r="48" spans="1:55" x14ac:dyDescent="0.25">
      <c r="A48">
        <v>46</v>
      </c>
      <c r="B48">
        <v>90</v>
      </c>
      <c r="C48">
        <v>38</v>
      </c>
      <c r="D48">
        <v>86</v>
      </c>
      <c r="E48">
        <v>67</v>
      </c>
      <c r="F48">
        <v>71</v>
      </c>
      <c r="G48">
        <v>18</v>
      </c>
      <c r="H48">
        <v>54</v>
      </c>
      <c r="I48">
        <v>38</v>
      </c>
      <c r="J48">
        <v>52</v>
      </c>
      <c r="K48">
        <v>79</v>
      </c>
      <c r="O48">
        <v>46</v>
      </c>
      <c r="P48">
        <f t="shared" si="12"/>
        <v>2551</v>
      </c>
      <c r="Q48">
        <f t="shared" si="3"/>
        <v>2702</v>
      </c>
      <c r="R48">
        <f t="shared" si="4"/>
        <v>2871</v>
      </c>
      <c r="S48">
        <f t="shared" si="5"/>
        <v>3042</v>
      </c>
      <c r="T48">
        <f t="shared" si="6"/>
        <v>3209</v>
      </c>
      <c r="U48">
        <f t="shared" si="7"/>
        <v>3280</v>
      </c>
      <c r="V48">
        <f t="shared" si="8"/>
        <v>3375</v>
      </c>
      <c r="W48">
        <f t="shared" si="9"/>
        <v>3475</v>
      </c>
      <c r="X48">
        <f t="shared" si="10"/>
        <v>3527</v>
      </c>
      <c r="Y48">
        <f t="shared" si="11"/>
        <v>3606</v>
      </c>
      <c r="AH48">
        <v>46</v>
      </c>
      <c r="AI48">
        <v>3934</v>
      </c>
      <c r="AJ48">
        <f t="shared" si="0"/>
        <v>487.4982206405694</v>
      </c>
      <c r="AK48">
        <f t="shared" si="1"/>
        <v>1.9485418003501124E-3</v>
      </c>
      <c r="AL48">
        <f t="shared" si="2"/>
        <v>9.1761626566946475E-2</v>
      </c>
      <c r="AQ48">
        <v>0.75065577000000006</v>
      </c>
      <c r="AR48">
        <v>407</v>
      </c>
      <c r="AS48">
        <v>3808</v>
      </c>
      <c r="AT48" s="2">
        <v>46</v>
      </c>
      <c r="AU48">
        <v>3783</v>
      </c>
      <c r="AV48" s="3">
        <v>0.95470964999999997</v>
      </c>
      <c r="AW48">
        <v>3783</v>
      </c>
      <c r="AX48" s="2">
        <v>493</v>
      </c>
      <c r="AY48">
        <v>3674</v>
      </c>
      <c r="BA48">
        <v>10</v>
      </c>
      <c r="BC48">
        <v>24</v>
      </c>
    </row>
    <row r="49" spans="1:55" x14ac:dyDescent="0.25">
      <c r="A49">
        <v>47</v>
      </c>
      <c r="B49">
        <v>58</v>
      </c>
      <c r="C49">
        <v>6</v>
      </c>
      <c r="D49">
        <v>31</v>
      </c>
      <c r="E49">
        <v>57</v>
      </c>
      <c r="F49">
        <v>83</v>
      </c>
      <c r="G49">
        <v>96</v>
      </c>
      <c r="H49">
        <v>53</v>
      </c>
      <c r="I49">
        <v>37</v>
      </c>
      <c r="J49">
        <v>49</v>
      </c>
      <c r="K49">
        <v>76</v>
      </c>
      <c r="O49">
        <v>47</v>
      </c>
      <c r="P49">
        <f t="shared" si="12"/>
        <v>2609</v>
      </c>
      <c r="Q49">
        <f t="shared" si="3"/>
        <v>2708</v>
      </c>
      <c r="R49">
        <f t="shared" si="4"/>
        <v>2902</v>
      </c>
      <c r="S49">
        <f t="shared" si="5"/>
        <v>3099</v>
      </c>
      <c r="T49">
        <f t="shared" si="6"/>
        <v>3292</v>
      </c>
      <c r="U49">
        <f t="shared" si="7"/>
        <v>3388</v>
      </c>
      <c r="V49">
        <f t="shared" si="8"/>
        <v>3441</v>
      </c>
      <c r="W49">
        <f t="shared" si="9"/>
        <v>3512</v>
      </c>
      <c r="X49">
        <f t="shared" si="10"/>
        <v>3576</v>
      </c>
      <c r="Y49">
        <f t="shared" si="11"/>
        <v>3682</v>
      </c>
      <c r="AH49">
        <v>47</v>
      </c>
      <c r="AI49">
        <v>3879</v>
      </c>
      <c r="AJ49">
        <f t="shared" si="0"/>
        <v>494.41041505542665</v>
      </c>
      <c r="AK49">
        <f t="shared" si="1"/>
        <v>1.9761700032424187E-3</v>
      </c>
      <c r="AL49">
        <f t="shared" si="2"/>
        <v>9.3737796570188894E-2</v>
      </c>
      <c r="AQ49">
        <v>0.99813585999999999</v>
      </c>
      <c r="AR49">
        <v>185</v>
      </c>
      <c r="AS49">
        <v>3841</v>
      </c>
      <c r="AT49" s="2">
        <v>47</v>
      </c>
      <c r="AU49">
        <v>3761</v>
      </c>
      <c r="AV49" s="3">
        <v>0.9308961</v>
      </c>
      <c r="AW49">
        <v>3761</v>
      </c>
      <c r="AX49" s="2">
        <v>283</v>
      </c>
      <c r="AY49">
        <v>3674</v>
      </c>
      <c r="BA49">
        <v>7</v>
      </c>
      <c r="BC49">
        <v>35</v>
      </c>
    </row>
    <row r="50" spans="1:55" x14ac:dyDescent="0.25">
      <c r="A50">
        <v>48</v>
      </c>
      <c r="B50">
        <v>46</v>
      </c>
      <c r="C50">
        <v>8</v>
      </c>
      <c r="D50">
        <v>99</v>
      </c>
      <c r="E50">
        <v>66</v>
      </c>
      <c r="F50">
        <v>13</v>
      </c>
      <c r="G50">
        <v>66</v>
      </c>
      <c r="H50">
        <v>75</v>
      </c>
      <c r="I50">
        <v>80</v>
      </c>
      <c r="J50">
        <v>92</v>
      </c>
      <c r="K50">
        <v>32</v>
      </c>
      <c r="O50">
        <v>48</v>
      </c>
      <c r="P50">
        <f t="shared" si="12"/>
        <v>2655</v>
      </c>
      <c r="Q50">
        <f t="shared" si="3"/>
        <v>2716</v>
      </c>
      <c r="R50">
        <f t="shared" si="4"/>
        <v>3001</v>
      </c>
      <c r="S50">
        <f t="shared" si="5"/>
        <v>3165</v>
      </c>
      <c r="T50">
        <f t="shared" si="6"/>
        <v>3305</v>
      </c>
      <c r="U50">
        <f t="shared" si="7"/>
        <v>3454</v>
      </c>
      <c r="V50">
        <f t="shared" si="8"/>
        <v>3529</v>
      </c>
      <c r="W50">
        <f t="shared" si="9"/>
        <v>3609</v>
      </c>
      <c r="X50">
        <f t="shared" si="10"/>
        <v>3701</v>
      </c>
      <c r="Y50">
        <f t="shared" si="11"/>
        <v>3733</v>
      </c>
      <c r="AH50">
        <v>48</v>
      </c>
      <c r="AI50">
        <v>3887</v>
      </c>
      <c r="AJ50">
        <f t="shared" si="0"/>
        <v>493.39284795472088</v>
      </c>
      <c r="AK50">
        <f t="shared" si="1"/>
        <v>1.9721027637194088E-3</v>
      </c>
      <c r="AL50">
        <f t="shared" si="2"/>
        <v>9.5709899333908305E-2</v>
      </c>
      <c r="AQ50">
        <v>0.82277321999999997</v>
      </c>
      <c r="AR50">
        <v>433</v>
      </c>
      <c r="AS50">
        <v>3763</v>
      </c>
      <c r="AT50" s="2">
        <v>48</v>
      </c>
      <c r="AU50">
        <v>3681</v>
      </c>
      <c r="AV50" s="3">
        <v>0.38972688</v>
      </c>
      <c r="AW50">
        <v>3681</v>
      </c>
      <c r="AX50" s="2">
        <v>492</v>
      </c>
      <c r="AY50">
        <v>3675</v>
      </c>
      <c r="BA50">
        <v>32</v>
      </c>
      <c r="BC50">
        <v>18</v>
      </c>
    </row>
    <row r="51" spans="1:55" x14ac:dyDescent="0.25">
      <c r="A51">
        <v>49</v>
      </c>
      <c r="B51">
        <v>14</v>
      </c>
      <c r="C51">
        <v>31</v>
      </c>
      <c r="D51">
        <v>10</v>
      </c>
      <c r="E51">
        <v>5</v>
      </c>
      <c r="F51">
        <v>3</v>
      </c>
      <c r="G51">
        <v>82</v>
      </c>
      <c r="H51">
        <v>58</v>
      </c>
      <c r="I51">
        <v>51</v>
      </c>
      <c r="J51">
        <v>43</v>
      </c>
      <c r="K51">
        <v>87</v>
      </c>
      <c r="O51">
        <v>49</v>
      </c>
      <c r="P51">
        <f t="shared" si="12"/>
        <v>2669</v>
      </c>
      <c r="Q51">
        <f t="shared" si="3"/>
        <v>2747</v>
      </c>
      <c r="R51">
        <f t="shared" si="4"/>
        <v>3011</v>
      </c>
      <c r="S51">
        <f t="shared" si="5"/>
        <v>3170</v>
      </c>
      <c r="T51">
        <f t="shared" si="6"/>
        <v>3308</v>
      </c>
      <c r="U51">
        <f t="shared" si="7"/>
        <v>3536</v>
      </c>
      <c r="V51">
        <f t="shared" si="8"/>
        <v>3594</v>
      </c>
      <c r="W51">
        <f t="shared" si="9"/>
        <v>3660</v>
      </c>
      <c r="X51">
        <f t="shared" si="10"/>
        <v>3744</v>
      </c>
      <c r="Y51">
        <f t="shared" si="11"/>
        <v>3831</v>
      </c>
      <c r="AH51">
        <v>49</v>
      </c>
      <c r="AI51">
        <v>3909</v>
      </c>
      <c r="AJ51">
        <f t="shared" si="0"/>
        <v>490.61601432591453</v>
      </c>
      <c r="AK51">
        <f t="shared" si="1"/>
        <v>1.9610036946987315E-3</v>
      </c>
      <c r="AL51">
        <f t="shared" si="2"/>
        <v>9.7670903028607037E-2</v>
      </c>
      <c r="AQ51">
        <v>0.33512825000000002</v>
      </c>
      <c r="AR51">
        <v>456</v>
      </c>
      <c r="AS51">
        <v>3606</v>
      </c>
      <c r="AT51" s="2">
        <v>49</v>
      </c>
      <c r="AU51">
        <v>3605</v>
      </c>
      <c r="AV51" s="3">
        <v>0.53856415000000002</v>
      </c>
      <c r="AW51">
        <v>3605</v>
      </c>
      <c r="AX51" s="2">
        <v>148</v>
      </c>
      <c r="AY51">
        <v>3676</v>
      </c>
      <c r="BA51">
        <v>23</v>
      </c>
      <c r="BC51">
        <v>41</v>
      </c>
    </row>
    <row r="52" spans="1:55" x14ac:dyDescent="0.25">
      <c r="A52">
        <v>50</v>
      </c>
      <c r="B52">
        <v>84</v>
      </c>
      <c r="C52">
        <v>98</v>
      </c>
      <c r="D52">
        <v>2</v>
      </c>
      <c r="E52">
        <v>69</v>
      </c>
      <c r="F52">
        <v>99</v>
      </c>
      <c r="G52">
        <v>23</v>
      </c>
      <c r="H52">
        <v>74</v>
      </c>
      <c r="I52">
        <v>34</v>
      </c>
      <c r="J52">
        <v>75</v>
      </c>
      <c r="K52">
        <v>4</v>
      </c>
      <c r="O52">
        <v>50</v>
      </c>
      <c r="P52">
        <f t="shared" si="12"/>
        <v>2753</v>
      </c>
      <c r="Q52">
        <f t="shared" si="3"/>
        <v>2851</v>
      </c>
      <c r="R52">
        <f t="shared" si="4"/>
        <v>3013</v>
      </c>
      <c r="S52">
        <f t="shared" si="5"/>
        <v>3239</v>
      </c>
      <c r="T52">
        <f t="shared" si="6"/>
        <v>3407</v>
      </c>
      <c r="U52">
        <f t="shared" si="7"/>
        <v>3559</v>
      </c>
      <c r="V52">
        <f t="shared" si="8"/>
        <v>3668</v>
      </c>
      <c r="W52">
        <f t="shared" si="9"/>
        <v>3702</v>
      </c>
      <c r="X52">
        <f t="shared" si="10"/>
        <v>3819</v>
      </c>
      <c r="Y52">
        <f t="shared" si="11"/>
        <v>3835</v>
      </c>
      <c r="AH52">
        <v>50</v>
      </c>
      <c r="AI52">
        <v>3819</v>
      </c>
      <c r="AJ52">
        <f t="shared" si="0"/>
        <v>502.17805708300602</v>
      </c>
      <c r="AK52">
        <f t="shared" si="1"/>
        <v>2.0072174502690082E-3</v>
      </c>
      <c r="AL52">
        <f t="shared" si="2"/>
        <v>9.9678120478876045E-2</v>
      </c>
      <c r="AQ52">
        <v>0.77676188999999995</v>
      </c>
      <c r="AR52">
        <v>243</v>
      </c>
      <c r="AS52">
        <v>3819</v>
      </c>
      <c r="AT52" s="2">
        <v>50</v>
      </c>
      <c r="AU52">
        <v>3819</v>
      </c>
      <c r="AV52" s="3">
        <v>0.45356357000000003</v>
      </c>
      <c r="AW52">
        <v>3819</v>
      </c>
      <c r="AX52" s="2">
        <v>225</v>
      </c>
      <c r="AY52">
        <v>3677</v>
      </c>
      <c r="BA52">
        <v>26</v>
      </c>
      <c r="BC52">
        <v>30</v>
      </c>
    </row>
    <row r="53" spans="1:55" x14ac:dyDescent="0.25">
      <c r="AH53">
        <v>51</v>
      </c>
      <c r="AI53">
        <v>3861</v>
      </c>
      <c r="AJ53">
        <f t="shared" si="0"/>
        <v>496.71535871535872</v>
      </c>
      <c r="AK53">
        <f t="shared" si="1"/>
        <v>1.9853829170104484E-3</v>
      </c>
      <c r="AL53">
        <f t="shared" si="2"/>
        <v>0.10166350339588649</v>
      </c>
      <c r="AQ53">
        <v>0.70326476999999998</v>
      </c>
      <c r="AR53">
        <v>170</v>
      </c>
      <c r="AS53">
        <v>3833</v>
      </c>
      <c r="AT53" s="2">
        <v>51</v>
      </c>
      <c r="AU53">
        <v>3887</v>
      </c>
      <c r="AV53" s="3">
        <v>0.81153160000000002</v>
      </c>
      <c r="AW53">
        <v>3887</v>
      </c>
      <c r="AX53" s="2">
        <v>348</v>
      </c>
      <c r="AY53">
        <v>3678</v>
      </c>
    </row>
    <row r="54" spans="1:55" x14ac:dyDescent="0.25">
      <c r="AH54">
        <v>52</v>
      </c>
      <c r="AI54">
        <v>3681</v>
      </c>
      <c r="AJ54">
        <f t="shared" si="0"/>
        <v>521.00461831024177</v>
      </c>
      <c r="AK54">
        <f t="shared" si="1"/>
        <v>2.0824676562285634E-3</v>
      </c>
      <c r="AL54">
        <f t="shared" si="2"/>
        <v>0.10374597105211505</v>
      </c>
      <c r="AQ54">
        <v>0.60704469999999999</v>
      </c>
      <c r="AR54">
        <v>438</v>
      </c>
      <c r="AS54">
        <v>3731</v>
      </c>
      <c r="AT54" s="2">
        <v>52</v>
      </c>
      <c r="AU54">
        <v>3771</v>
      </c>
      <c r="AV54" s="3">
        <v>0.86622858000000003</v>
      </c>
      <c r="AW54">
        <v>3771</v>
      </c>
      <c r="AX54" s="2">
        <v>153</v>
      </c>
      <c r="AY54">
        <v>3681</v>
      </c>
    </row>
    <row r="55" spans="1:55" x14ac:dyDescent="0.25">
      <c r="X55" t="s">
        <v>11</v>
      </c>
      <c r="Y55">
        <f>Y52</f>
        <v>3835</v>
      </c>
      <c r="AH55">
        <v>53</v>
      </c>
      <c r="AI55">
        <v>3950</v>
      </c>
      <c r="AJ55">
        <f t="shared" si="0"/>
        <v>485.52354430379745</v>
      </c>
      <c r="AK55">
        <f t="shared" si="1"/>
        <v>1.9406489728043903E-3</v>
      </c>
      <c r="AL55">
        <f t="shared" si="2"/>
        <v>0.10568662002491945</v>
      </c>
      <c r="AQ55">
        <v>0.53333920000000001</v>
      </c>
      <c r="AR55">
        <v>200</v>
      </c>
      <c r="AS55">
        <v>3833</v>
      </c>
      <c r="AT55" s="2">
        <v>53</v>
      </c>
      <c r="AU55">
        <v>3864</v>
      </c>
      <c r="AV55" s="4">
        <v>3.8344300000000002E-3</v>
      </c>
      <c r="AW55">
        <v>3861</v>
      </c>
      <c r="AX55" s="2">
        <v>33</v>
      </c>
      <c r="AY55">
        <v>3681</v>
      </c>
    </row>
    <row r="56" spans="1:55" x14ac:dyDescent="0.25">
      <c r="AH56">
        <v>54</v>
      </c>
      <c r="AI56">
        <v>3731</v>
      </c>
      <c r="AJ56">
        <f t="shared" si="0"/>
        <v>514.02251407129461</v>
      </c>
      <c r="AK56">
        <f t="shared" si="1"/>
        <v>2.0545600221327639E-3</v>
      </c>
      <c r="AL56">
        <f t="shared" si="2"/>
        <v>0.10774118004705222</v>
      </c>
      <c r="AQ56">
        <v>0.77905285000000002</v>
      </c>
      <c r="AR56">
        <v>99</v>
      </c>
      <c r="AS56">
        <v>3744</v>
      </c>
      <c r="AT56" s="2">
        <v>54</v>
      </c>
      <c r="AU56">
        <v>3824</v>
      </c>
      <c r="AV56" s="3">
        <v>0.32712436</v>
      </c>
      <c r="AW56">
        <v>3824</v>
      </c>
      <c r="AX56" s="2">
        <v>122</v>
      </c>
      <c r="AY56">
        <v>3682</v>
      </c>
    </row>
    <row r="57" spans="1:55" x14ac:dyDescent="0.25">
      <c r="AH57">
        <v>55</v>
      </c>
      <c r="AI57">
        <v>3847</v>
      </c>
      <c r="AJ57">
        <f t="shared" si="0"/>
        <v>498.52300493891346</v>
      </c>
      <c r="AK57">
        <f t="shared" si="1"/>
        <v>1.9926081212834268E-3</v>
      </c>
      <c r="AL57">
        <f t="shared" si="2"/>
        <v>0.10973378816833564</v>
      </c>
      <c r="AQ57">
        <v>0.15562039999999999</v>
      </c>
      <c r="AR57">
        <v>228</v>
      </c>
      <c r="AS57">
        <v>3628</v>
      </c>
      <c r="AT57" s="2">
        <v>55</v>
      </c>
      <c r="AU57">
        <v>3858</v>
      </c>
      <c r="AV57" s="3">
        <v>9.7953739999999997E-2</v>
      </c>
      <c r="AW57">
        <v>3858</v>
      </c>
      <c r="AX57" s="2">
        <v>54</v>
      </c>
      <c r="AY57">
        <v>3683</v>
      </c>
    </row>
    <row r="58" spans="1:55" x14ac:dyDescent="0.25">
      <c r="AH58">
        <v>56</v>
      </c>
      <c r="AI58">
        <v>3843</v>
      </c>
      <c r="AJ58">
        <f t="shared" si="0"/>
        <v>499.04189435336974</v>
      </c>
      <c r="AK58">
        <f t="shared" si="1"/>
        <v>1.9946821344203336E-3</v>
      </c>
      <c r="AL58">
        <f t="shared" si="2"/>
        <v>0.11172847030275597</v>
      </c>
      <c r="AQ58">
        <v>0.12229228</v>
      </c>
      <c r="AR58">
        <v>154</v>
      </c>
      <c r="AS58">
        <v>3734</v>
      </c>
      <c r="AT58" s="2">
        <v>56</v>
      </c>
      <c r="AU58">
        <v>3737</v>
      </c>
      <c r="AV58" s="3">
        <v>0.16064870000000001</v>
      </c>
      <c r="AW58">
        <v>3737</v>
      </c>
      <c r="AX58" s="2">
        <v>155</v>
      </c>
      <c r="AY58">
        <v>3686</v>
      </c>
    </row>
    <row r="59" spans="1:55" x14ac:dyDescent="0.25">
      <c r="AH59">
        <v>57</v>
      </c>
      <c r="AI59">
        <v>3760</v>
      </c>
      <c r="AJ59">
        <f t="shared" si="0"/>
        <v>510.05797872340423</v>
      </c>
      <c r="AK59">
        <f t="shared" si="1"/>
        <v>2.038713681536527E-3</v>
      </c>
      <c r="AL59">
        <f t="shared" si="2"/>
        <v>0.1137671839842925</v>
      </c>
      <c r="AQ59">
        <v>0.62065309000000002</v>
      </c>
      <c r="AR59">
        <v>64</v>
      </c>
      <c r="AS59">
        <v>3874</v>
      </c>
      <c r="AT59" s="2">
        <v>57</v>
      </c>
      <c r="AU59">
        <v>3716</v>
      </c>
      <c r="AV59" s="4">
        <v>3.4514490000000002E-2</v>
      </c>
      <c r="AW59">
        <v>3725</v>
      </c>
      <c r="AX59" s="2">
        <v>186</v>
      </c>
      <c r="AY59">
        <v>3688</v>
      </c>
    </row>
    <row r="60" spans="1:55" x14ac:dyDescent="0.25">
      <c r="AH60">
        <v>58</v>
      </c>
      <c r="AI60">
        <v>3650</v>
      </c>
      <c r="AJ60">
        <f t="shared" si="0"/>
        <v>525.42958904109594</v>
      </c>
      <c r="AK60">
        <f t="shared" si="1"/>
        <v>2.1001543678294088E-3</v>
      </c>
      <c r="AL60">
        <f t="shared" si="2"/>
        <v>0.11586733835212192</v>
      </c>
      <c r="AQ60">
        <v>0.86794126000000005</v>
      </c>
      <c r="AR60">
        <v>197</v>
      </c>
      <c r="AS60">
        <v>3773</v>
      </c>
      <c r="AT60" s="2">
        <v>58</v>
      </c>
      <c r="AU60">
        <v>3807</v>
      </c>
      <c r="AV60" s="3">
        <v>0.71958792000000005</v>
      </c>
      <c r="AW60">
        <v>3807</v>
      </c>
      <c r="AX60" s="2">
        <v>239</v>
      </c>
      <c r="AY60">
        <v>3688</v>
      </c>
    </row>
    <row r="61" spans="1:55" x14ac:dyDescent="0.25">
      <c r="AH61">
        <v>59</v>
      </c>
      <c r="AI61">
        <v>3775</v>
      </c>
      <c r="AJ61">
        <f t="shared" si="0"/>
        <v>508.03125827814569</v>
      </c>
      <c r="AK61">
        <f t="shared" si="1"/>
        <v>2.0306128324708191E-3</v>
      </c>
      <c r="AL61">
        <f t="shared" si="2"/>
        <v>0.11789795118459273</v>
      </c>
      <c r="AQ61">
        <v>8.6464940000000004E-2</v>
      </c>
      <c r="AR61">
        <v>194</v>
      </c>
      <c r="AS61">
        <v>3617</v>
      </c>
      <c r="AT61" s="2">
        <v>59</v>
      </c>
      <c r="AU61">
        <v>3739</v>
      </c>
      <c r="AV61" s="3">
        <v>0.44973784999999999</v>
      </c>
      <c r="AW61">
        <v>3739</v>
      </c>
      <c r="AX61" s="2">
        <v>159</v>
      </c>
      <c r="AY61">
        <v>3689</v>
      </c>
    </row>
    <row r="62" spans="1:55" x14ac:dyDescent="0.25">
      <c r="AH62">
        <v>60</v>
      </c>
      <c r="AI62">
        <v>3770</v>
      </c>
      <c r="AJ62">
        <f t="shared" si="0"/>
        <v>508.7050397877984</v>
      </c>
      <c r="AK62">
        <f t="shared" si="1"/>
        <v>2.0333059529382869E-3</v>
      </c>
      <c r="AL62">
        <f t="shared" si="2"/>
        <v>0.11993125713753101</v>
      </c>
      <c r="AQ62">
        <v>0.98722935000000001</v>
      </c>
      <c r="AR62">
        <v>109</v>
      </c>
      <c r="AS62">
        <v>3762</v>
      </c>
      <c r="AT62" s="2">
        <v>60</v>
      </c>
      <c r="AU62">
        <v>3784</v>
      </c>
      <c r="AV62" s="3">
        <v>0.39277195999999998</v>
      </c>
      <c r="AW62">
        <v>3784</v>
      </c>
      <c r="AX62" s="2">
        <v>396</v>
      </c>
      <c r="AY62">
        <v>3689</v>
      </c>
    </row>
    <row r="63" spans="1:55" x14ac:dyDescent="0.25">
      <c r="AH63">
        <v>61</v>
      </c>
      <c r="AI63">
        <v>3717</v>
      </c>
      <c r="AJ63">
        <f t="shared" si="0"/>
        <v>515.9585687382297</v>
      </c>
      <c r="AK63">
        <f t="shared" si="1"/>
        <v>2.0622984779600055E-3</v>
      </c>
      <c r="AL63">
        <f t="shared" si="2"/>
        <v>0.12199355561549102</v>
      </c>
      <c r="AQ63">
        <v>0.30342977999999998</v>
      </c>
      <c r="AR63">
        <v>34</v>
      </c>
      <c r="AS63">
        <v>3726</v>
      </c>
      <c r="AT63" s="2">
        <v>61</v>
      </c>
      <c r="AU63">
        <v>3696</v>
      </c>
      <c r="AV63" s="3">
        <v>0.85071796</v>
      </c>
      <c r="AW63">
        <v>3696</v>
      </c>
      <c r="AX63" s="2">
        <v>328</v>
      </c>
      <c r="AY63">
        <v>3690</v>
      </c>
    </row>
    <row r="64" spans="1:55" x14ac:dyDescent="0.25">
      <c r="AH64">
        <v>62</v>
      </c>
      <c r="AI64">
        <v>3869</v>
      </c>
      <c r="AJ64">
        <f t="shared" si="0"/>
        <v>495.68829154820367</v>
      </c>
      <c r="AK64">
        <f t="shared" si="1"/>
        <v>1.9812777054994423E-3</v>
      </c>
      <c r="AL64">
        <f t="shared" si="2"/>
        <v>0.12397483332099046</v>
      </c>
      <c r="AQ64">
        <v>0.23684752000000001</v>
      </c>
      <c r="AR64">
        <v>156</v>
      </c>
      <c r="AS64">
        <v>3710</v>
      </c>
      <c r="AT64" s="2">
        <v>62</v>
      </c>
      <c r="AU64">
        <v>3744</v>
      </c>
      <c r="AV64" s="3">
        <v>0.55323493000000001</v>
      </c>
      <c r="AW64">
        <v>3744</v>
      </c>
      <c r="AX64" s="2">
        <v>447</v>
      </c>
      <c r="AY64">
        <v>3690</v>
      </c>
    </row>
    <row r="65" spans="34:51" x14ac:dyDescent="0.25">
      <c r="AH65">
        <v>63</v>
      </c>
      <c r="AI65">
        <v>3839</v>
      </c>
      <c r="AJ65">
        <f t="shared" si="0"/>
        <v>499.56186506902839</v>
      </c>
      <c r="AK65">
        <f t="shared" si="1"/>
        <v>1.9967604695434594E-3</v>
      </c>
      <c r="AL65">
        <f t="shared" si="2"/>
        <v>0.12597159379053391</v>
      </c>
      <c r="AQ65">
        <v>0.97803717999999995</v>
      </c>
      <c r="AR65">
        <v>232</v>
      </c>
      <c r="AS65">
        <v>3810</v>
      </c>
      <c r="AT65" s="2">
        <v>63</v>
      </c>
      <c r="AU65">
        <v>3623</v>
      </c>
      <c r="AV65" s="3">
        <v>0.40411907000000002</v>
      </c>
      <c r="AW65">
        <v>3623</v>
      </c>
      <c r="AX65" s="2">
        <v>280</v>
      </c>
      <c r="AY65">
        <v>3691</v>
      </c>
    </row>
    <row r="66" spans="34:51" x14ac:dyDescent="0.25">
      <c r="AH66">
        <v>64</v>
      </c>
      <c r="AI66">
        <v>3874</v>
      </c>
      <c r="AJ66">
        <f t="shared" si="0"/>
        <v>495.04852865255549</v>
      </c>
      <c r="AK66">
        <f t="shared" si="1"/>
        <v>1.9787205582285344E-3</v>
      </c>
      <c r="AL66">
        <f t="shared" si="2"/>
        <v>0.12795031434876245</v>
      </c>
      <c r="AQ66">
        <v>0.56763958999999997</v>
      </c>
      <c r="AR66">
        <v>360</v>
      </c>
      <c r="AS66">
        <v>3874</v>
      </c>
      <c r="AT66" s="2">
        <v>64</v>
      </c>
      <c r="AU66">
        <v>4040</v>
      </c>
      <c r="AV66" s="3">
        <v>0.41366148000000003</v>
      </c>
      <c r="AW66">
        <v>4040</v>
      </c>
      <c r="AX66" s="2">
        <v>474</v>
      </c>
      <c r="AY66">
        <v>3691</v>
      </c>
    </row>
    <row r="67" spans="34:51" x14ac:dyDescent="0.25">
      <c r="AH67">
        <v>65</v>
      </c>
      <c r="AI67">
        <v>4087</v>
      </c>
      <c r="AJ67">
        <f t="shared" si="0"/>
        <v>469.24834842182531</v>
      </c>
      <c r="AK67">
        <f t="shared" si="1"/>
        <v>1.8755966338579256E-3</v>
      </c>
      <c r="AL67">
        <f t="shared" si="2"/>
        <v>0.12982591098262036</v>
      </c>
      <c r="AQ67">
        <v>4.6818199999999997E-2</v>
      </c>
      <c r="AR67">
        <v>194</v>
      </c>
      <c r="AS67">
        <v>3617</v>
      </c>
      <c r="AT67" s="2">
        <v>65</v>
      </c>
      <c r="AU67">
        <v>3764</v>
      </c>
      <c r="AV67" s="3">
        <v>0.38594979000000001</v>
      </c>
      <c r="AW67">
        <v>3764</v>
      </c>
      <c r="AX67" s="2">
        <v>472</v>
      </c>
      <c r="AY67">
        <v>3695</v>
      </c>
    </row>
    <row r="68" spans="34:51" x14ac:dyDescent="0.25">
      <c r="AH68">
        <v>66</v>
      </c>
      <c r="AI68">
        <v>3907</v>
      </c>
      <c r="AJ68">
        <f t="shared" ref="AJ68:AJ131" si="13">$AI$504/AI68</f>
        <v>490.86716150499103</v>
      </c>
      <c r="AK68">
        <f t="shared" ref="AK68:AK131" si="14">AJ68/$AJ$504</f>
        <v>1.9620075358529158E-3</v>
      </c>
      <c r="AL68">
        <f t="shared" ref="AL68:AL131" si="15">AK68+AL67</f>
        <v>0.13178791851847327</v>
      </c>
      <c r="AQ68">
        <v>0.80282485000000003</v>
      </c>
      <c r="AR68">
        <v>37</v>
      </c>
      <c r="AS68">
        <v>3757</v>
      </c>
      <c r="AT68" s="2">
        <v>66</v>
      </c>
      <c r="AU68">
        <v>3991</v>
      </c>
      <c r="AV68" s="3">
        <v>0.40383827999999999</v>
      </c>
      <c r="AW68">
        <v>3991</v>
      </c>
      <c r="AX68" s="2">
        <v>101</v>
      </c>
      <c r="AY68">
        <v>3696</v>
      </c>
    </row>
    <row r="69" spans="34:51" x14ac:dyDescent="0.25">
      <c r="AH69">
        <v>67</v>
      </c>
      <c r="AI69">
        <v>4121</v>
      </c>
      <c r="AJ69">
        <f t="shared" si="13"/>
        <v>465.37685027905849</v>
      </c>
      <c r="AK69">
        <f t="shared" si="14"/>
        <v>1.8601221651485906E-3</v>
      </c>
      <c r="AL69">
        <f t="shared" si="15"/>
        <v>0.13364804068362185</v>
      </c>
      <c r="AQ69">
        <v>0.14167743999999999</v>
      </c>
      <c r="AR69">
        <v>375</v>
      </c>
      <c r="AS69">
        <v>3819</v>
      </c>
      <c r="AT69" s="2">
        <v>67</v>
      </c>
      <c r="AU69">
        <v>3787</v>
      </c>
      <c r="AV69" s="3">
        <v>0.73341255999999999</v>
      </c>
      <c r="AW69">
        <v>3787</v>
      </c>
      <c r="AX69" s="2">
        <v>1</v>
      </c>
      <c r="AY69">
        <v>3696</v>
      </c>
    </row>
    <row r="70" spans="34:51" x14ac:dyDescent="0.25">
      <c r="AH70">
        <v>68</v>
      </c>
      <c r="AI70">
        <v>3820</v>
      </c>
      <c r="AJ70">
        <f t="shared" si="13"/>
        <v>502.04659685863874</v>
      </c>
      <c r="AK70">
        <f t="shared" si="14"/>
        <v>2.0066920006746969E-3</v>
      </c>
      <c r="AL70">
        <f t="shared" si="15"/>
        <v>0.13565473268429654</v>
      </c>
      <c r="AQ70">
        <v>0.74200200999999999</v>
      </c>
      <c r="AR70">
        <v>3</v>
      </c>
      <c r="AS70">
        <v>3744</v>
      </c>
      <c r="AT70" s="2">
        <v>68</v>
      </c>
      <c r="AU70">
        <v>3700</v>
      </c>
      <c r="AV70" s="4">
        <v>3.247046E-2</v>
      </c>
      <c r="AW70">
        <v>3717</v>
      </c>
      <c r="AX70" s="2">
        <v>5</v>
      </c>
      <c r="AY70">
        <v>3697</v>
      </c>
    </row>
    <row r="71" spans="34:51" x14ac:dyDescent="0.25">
      <c r="AH71">
        <v>69</v>
      </c>
      <c r="AI71">
        <v>3779</v>
      </c>
      <c r="AJ71">
        <f t="shared" si="13"/>
        <v>507.49351680338714</v>
      </c>
      <c r="AK71">
        <f t="shared" si="14"/>
        <v>2.0284634672075529E-3</v>
      </c>
      <c r="AL71">
        <f t="shared" si="15"/>
        <v>0.13768319615150409</v>
      </c>
      <c r="AQ71">
        <v>0.77788131999999999</v>
      </c>
      <c r="AR71">
        <v>172</v>
      </c>
      <c r="AS71">
        <v>3753</v>
      </c>
      <c r="AT71" s="2">
        <v>69</v>
      </c>
      <c r="AU71">
        <v>3718</v>
      </c>
      <c r="AV71" s="3">
        <v>0.38372426999999998</v>
      </c>
      <c r="AW71">
        <v>3718</v>
      </c>
      <c r="AX71" s="2">
        <v>393</v>
      </c>
      <c r="AY71">
        <v>3698</v>
      </c>
    </row>
    <row r="72" spans="34:51" x14ac:dyDescent="0.25">
      <c r="AH72">
        <v>70</v>
      </c>
      <c r="AI72">
        <v>3668</v>
      </c>
      <c r="AJ72">
        <f t="shared" si="13"/>
        <v>522.85114503816794</v>
      </c>
      <c r="AK72">
        <f t="shared" si="14"/>
        <v>2.0898482667877157E-3</v>
      </c>
      <c r="AL72">
        <f t="shared" si="15"/>
        <v>0.1397730444182918</v>
      </c>
      <c r="AQ72">
        <v>9.7184300000000001E-2</v>
      </c>
      <c r="AR72">
        <v>18</v>
      </c>
      <c r="AS72">
        <v>3919</v>
      </c>
      <c r="AT72" s="2">
        <v>70</v>
      </c>
      <c r="AU72">
        <v>3876</v>
      </c>
      <c r="AV72" s="3">
        <v>0.22338104</v>
      </c>
      <c r="AW72">
        <v>3876</v>
      </c>
      <c r="AX72" s="2">
        <v>454</v>
      </c>
      <c r="AY72">
        <v>3699</v>
      </c>
    </row>
    <row r="73" spans="34:51" x14ac:dyDescent="0.25">
      <c r="AH73">
        <v>71</v>
      </c>
      <c r="AI73">
        <v>3736</v>
      </c>
      <c r="AJ73">
        <f t="shared" si="13"/>
        <v>513.33458244111353</v>
      </c>
      <c r="AK73">
        <f t="shared" si="14"/>
        <v>2.0518103433022866E-3</v>
      </c>
      <c r="AL73">
        <f t="shared" si="15"/>
        <v>0.14182485476159409</v>
      </c>
      <c r="AQ73">
        <v>4.595262E-2</v>
      </c>
      <c r="AR73">
        <v>224</v>
      </c>
      <c r="AS73">
        <v>3804</v>
      </c>
      <c r="AT73" s="2">
        <v>71</v>
      </c>
      <c r="AU73">
        <v>3858</v>
      </c>
      <c r="AV73" s="3">
        <v>0.21118563000000001</v>
      </c>
      <c r="AW73">
        <v>3858</v>
      </c>
      <c r="AX73" s="2">
        <v>481</v>
      </c>
      <c r="AY73">
        <v>3700</v>
      </c>
    </row>
    <row r="74" spans="34:51" x14ac:dyDescent="0.25">
      <c r="AH74">
        <v>72</v>
      </c>
      <c r="AI74">
        <v>3739</v>
      </c>
      <c r="AJ74">
        <f t="shared" si="13"/>
        <v>512.92270660604436</v>
      </c>
      <c r="AK74">
        <f t="shared" si="14"/>
        <v>2.0501640659474035E-3</v>
      </c>
      <c r="AL74">
        <f t="shared" si="15"/>
        <v>0.1438750188275415</v>
      </c>
      <c r="AQ74">
        <v>0.91711593000000002</v>
      </c>
      <c r="AR74">
        <v>128</v>
      </c>
      <c r="AS74">
        <v>3815</v>
      </c>
      <c r="AT74" s="2">
        <v>72</v>
      </c>
      <c r="AU74">
        <v>3815</v>
      </c>
      <c r="AV74" s="3">
        <v>0.66494715000000004</v>
      </c>
      <c r="AW74">
        <v>3815</v>
      </c>
      <c r="AX74" s="2">
        <v>220</v>
      </c>
      <c r="AY74">
        <v>3702</v>
      </c>
    </row>
    <row r="75" spans="34:51" x14ac:dyDescent="0.25">
      <c r="AH75">
        <v>73</v>
      </c>
      <c r="AI75">
        <v>3738</v>
      </c>
      <c r="AJ75">
        <f t="shared" si="13"/>
        <v>513.05992509363296</v>
      </c>
      <c r="AK75">
        <f t="shared" si="14"/>
        <v>2.0507125314546126E-3</v>
      </c>
      <c r="AL75">
        <f t="shared" si="15"/>
        <v>0.14592573135899611</v>
      </c>
      <c r="AQ75">
        <v>0.83872122000000005</v>
      </c>
      <c r="AR75">
        <v>295</v>
      </c>
      <c r="AS75">
        <v>3941</v>
      </c>
      <c r="AT75" s="2">
        <v>73</v>
      </c>
      <c r="AU75">
        <v>3948</v>
      </c>
      <c r="AV75" s="3">
        <v>0.23963672</v>
      </c>
      <c r="AW75">
        <v>3948</v>
      </c>
      <c r="AX75" s="2">
        <v>450</v>
      </c>
      <c r="AY75">
        <v>3702</v>
      </c>
    </row>
    <row r="76" spans="34:51" x14ac:dyDescent="0.25">
      <c r="AH76">
        <v>74</v>
      </c>
      <c r="AI76">
        <v>3609</v>
      </c>
      <c r="AJ76">
        <f t="shared" si="13"/>
        <v>531.39872540870044</v>
      </c>
      <c r="AK76">
        <f t="shared" si="14"/>
        <v>2.1240131456296317E-3</v>
      </c>
      <c r="AL76">
        <f t="shared" si="15"/>
        <v>0.14804974450462574</v>
      </c>
      <c r="AQ76">
        <v>0.40611969999999997</v>
      </c>
      <c r="AR76">
        <v>395</v>
      </c>
      <c r="AS76">
        <v>3772</v>
      </c>
      <c r="AT76" s="2">
        <v>74</v>
      </c>
      <c r="AU76">
        <v>3768</v>
      </c>
      <c r="AV76" s="3">
        <v>0.14514564999999999</v>
      </c>
      <c r="AW76">
        <v>3768</v>
      </c>
      <c r="AX76" s="2">
        <v>495</v>
      </c>
      <c r="AY76">
        <v>3703</v>
      </c>
    </row>
    <row r="77" spans="34:51" x14ac:dyDescent="0.25">
      <c r="AH77">
        <v>75</v>
      </c>
      <c r="AI77">
        <v>3744</v>
      </c>
      <c r="AJ77">
        <f t="shared" si="13"/>
        <v>512.23771367521363</v>
      </c>
      <c r="AK77">
        <f t="shared" si="14"/>
        <v>2.0474261331670249E-3</v>
      </c>
      <c r="AL77">
        <f t="shared" si="15"/>
        <v>0.15009717063779277</v>
      </c>
      <c r="AQ77">
        <v>0.89478117000000001</v>
      </c>
      <c r="AR77">
        <v>433</v>
      </c>
      <c r="AS77">
        <v>3763</v>
      </c>
      <c r="AT77" s="2">
        <v>75</v>
      </c>
      <c r="AU77">
        <v>3775</v>
      </c>
      <c r="AV77" s="3">
        <v>0.22738594000000001</v>
      </c>
      <c r="AW77">
        <v>3775</v>
      </c>
      <c r="AX77" s="2">
        <v>144</v>
      </c>
      <c r="AY77">
        <v>3703</v>
      </c>
    </row>
    <row r="78" spans="34:51" x14ac:dyDescent="0.25">
      <c r="AH78">
        <v>76</v>
      </c>
      <c r="AI78">
        <v>3813</v>
      </c>
      <c r="AJ78">
        <f t="shared" si="13"/>
        <v>502.96826645685809</v>
      </c>
      <c r="AK78">
        <f t="shared" si="14"/>
        <v>2.010375935635285E-3</v>
      </c>
      <c r="AL78">
        <f t="shared" si="15"/>
        <v>0.15210754657342804</v>
      </c>
      <c r="AQ78">
        <v>0.29372597</v>
      </c>
      <c r="AR78">
        <v>363</v>
      </c>
      <c r="AS78">
        <v>3884</v>
      </c>
      <c r="AT78" s="2">
        <v>76</v>
      </c>
      <c r="AU78">
        <v>3817</v>
      </c>
      <c r="AV78" s="3">
        <v>0.52186381999999998</v>
      </c>
      <c r="AW78">
        <v>3817</v>
      </c>
      <c r="AX78" s="2">
        <v>416</v>
      </c>
      <c r="AY78">
        <v>3703</v>
      </c>
    </row>
    <row r="79" spans="34:51" x14ac:dyDescent="0.25">
      <c r="AH79">
        <v>77</v>
      </c>
      <c r="AI79">
        <v>3830</v>
      </c>
      <c r="AJ79">
        <f t="shared" si="13"/>
        <v>500.73577023498694</v>
      </c>
      <c r="AK79">
        <f t="shared" si="14"/>
        <v>2.0014525959731961E-3</v>
      </c>
      <c r="AL79">
        <f t="shared" si="15"/>
        <v>0.15410899916940124</v>
      </c>
      <c r="AQ79">
        <v>0.18960398000000001</v>
      </c>
      <c r="AR79">
        <v>24</v>
      </c>
      <c r="AS79">
        <v>3694</v>
      </c>
      <c r="AT79" s="2">
        <v>77</v>
      </c>
      <c r="AU79">
        <v>3968</v>
      </c>
      <c r="AV79" s="3">
        <v>0.20233398999999999</v>
      </c>
      <c r="AW79">
        <v>3968</v>
      </c>
      <c r="AX79" s="2">
        <v>443</v>
      </c>
      <c r="AY79">
        <v>3703</v>
      </c>
    </row>
    <row r="80" spans="34:51" x14ac:dyDescent="0.25">
      <c r="AH80">
        <v>78</v>
      </c>
      <c r="AI80">
        <v>3865</v>
      </c>
      <c r="AJ80">
        <f t="shared" si="13"/>
        <v>496.20129366106079</v>
      </c>
      <c r="AK80">
        <f t="shared" si="14"/>
        <v>1.9833281869540342E-3</v>
      </c>
      <c r="AL80">
        <f t="shared" si="15"/>
        <v>0.15609232735635528</v>
      </c>
      <c r="AQ80">
        <v>0.16133273000000001</v>
      </c>
      <c r="AR80">
        <v>109</v>
      </c>
      <c r="AS80">
        <v>3762</v>
      </c>
      <c r="AT80" s="2">
        <v>78</v>
      </c>
      <c r="AU80">
        <v>3885</v>
      </c>
      <c r="AV80" s="3">
        <v>0.90671206000000004</v>
      </c>
      <c r="AW80">
        <v>3885</v>
      </c>
      <c r="AX80" s="2">
        <v>262</v>
      </c>
      <c r="AY80">
        <v>3703</v>
      </c>
    </row>
    <row r="81" spans="34:51" x14ac:dyDescent="0.25">
      <c r="AH81">
        <v>79</v>
      </c>
      <c r="AI81">
        <v>3737</v>
      </c>
      <c r="AJ81">
        <f t="shared" si="13"/>
        <v>513.19721701899925</v>
      </c>
      <c r="AK81">
        <f t="shared" si="14"/>
        <v>2.0512612904943382E-3</v>
      </c>
      <c r="AL81">
        <f t="shared" si="15"/>
        <v>0.15814358864684963</v>
      </c>
      <c r="AQ81">
        <v>0.45555812000000001</v>
      </c>
      <c r="AR81">
        <v>182</v>
      </c>
      <c r="AS81">
        <v>3789</v>
      </c>
      <c r="AT81" s="2">
        <v>79</v>
      </c>
      <c r="AU81">
        <v>3763</v>
      </c>
      <c r="AV81" s="3">
        <v>0.24371213</v>
      </c>
      <c r="AW81">
        <v>3763</v>
      </c>
      <c r="AX81" s="2">
        <v>63</v>
      </c>
      <c r="AY81">
        <v>3704</v>
      </c>
    </row>
    <row r="82" spans="34:51" x14ac:dyDescent="0.25">
      <c r="AH82">
        <v>80</v>
      </c>
      <c r="AI82">
        <v>3832</v>
      </c>
      <c r="AJ82">
        <f t="shared" si="13"/>
        <v>500.47442588726511</v>
      </c>
      <c r="AK82">
        <f t="shared" si="14"/>
        <v>2.0004079964972186E-3</v>
      </c>
      <c r="AL82">
        <f t="shared" si="15"/>
        <v>0.16014399664334686</v>
      </c>
      <c r="AQ82">
        <v>0.38214706999999998</v>
      </c>
      <c r="AR82">
        <v>75</v>
      </c>
      <c r="AS82">
        <v>3744</v>
      </c>
      <c r="AT82" s="2">
        <v>80</v>
      </c>
      <c r="AU82">
        <v>3777</v>
      </c>
      <c r="AV82" s="3">
        <v>0.81980907999999997</v>
      </c>
      <c r="AW82">
        <v>3777</v>
      </c>
      <c r="AX82" s="2">
        <v>338</v>
      </c>
      <c r="AY82">
        <v>3705</v>
      </c>
    </row>
    <row r="83" spans="34:51" x14ac:dyDescent="0.25">
      <c r="AH83">
        <v>81</v>
      </c>
      <c r="AI83">
        <v>3808</v>
      </c>
      <c r="AJ83">
        <f t="shared" si="13"/>
        <v>503.62867647058823</v>
      </c>
      <c r="AK83">
        <f t="shared" si="14"/>
        <v>2.0130156099205203E-3</v>
      </c>
      <c r="AL83">
        <f t="shared" si="15"/>
        <v>0.16215701225326737</v>
      </c>
      <c r="AQ83">
        <v>0.86208481000000003</v>
      </c>
      <c r="AR83">
        <v>190</v>
      </c>
      <c r="AS83">
        <v>3911</v>
      </c>
      <c r="AT83" s="2">
        <v>81</v>
      </c>
      <c r="AU83">
        <v>3915</v>
      </c>
      <c r="AV83" s="3">
        <v>0.51772671999999997</v>
      </c>
      <c r="AW83">
        <v>3915</v>
      </c>
      <c r="AX83" s="2">
        <v>395</v>
      </c>
      <c r="AY83">
        <v>3705</v>
      </c>
    </row>
    <row r="84" spans="34:51" x14ac:dyDescent="0.25">
      <c r="AH84">
        <v>82</v>
      </c>
      <c r="AI84">
        <v>4001</v>
      </c>
      <c r="AJ84">
        <f t="shared" si="13"/>
        <v>479.33466633341664</v>
      </c>
      <c r="AK84">
        <f t="shared" si="14"/>
        <v>1.915911882673667E-3</v>
      </c>
      <c r="AL84">
        <f t="shared" si="15"/>
        <v>0.16407292413594105</v>
      </c>
      <c r="AQ84">
        <v>0.58065783999999998</v>
      </c>
      <c r="AR84">
        <v>191</v>
      </c>
      <c r="AS84">
        <v>3809</v>
      </c>
      <c r="AT84" s="2">
        <v>82</v>
      </c>
      <c r="AU84">
        <v>3912</v>
      </c>
      <c r="AV84" s="3">
        <v>0.58284831000000004</v>
      </c>
      <c r="AW84">
        <v>3912</v>
      </c>
      <c r="AX84" s="2">
        <v>16</v>
      </c>
      <c r="AY84">
        <v>3706</v>
      </c>
    </row>
    <row r="85" spans="34:51" x14ac:dyDescent="0.25">
      <c r="AH85">
        <v>83</v>
      </c>
      <c r="AI85">
        <v>3671</v>
      </c>
      <c r="AJ85">
        <f t="shared" si="13"/>
        <v>522.42386270770908</v>
      </c>
      <c r="AK85">
        <f t="shared" si="14"/>
        <v>2.0881404093100902E-3</v>
      </c>
      <c r="AL85">
        <f t="shared" si="15"/>
        <v>0.16616106454525115</v>
      </c>
      <c r="AQ85">
        <v>0.13728004999999999</v>
      </c>
      <c r="AR85">
        <v>264</v>
      </c>
      <c r="AS85">
        <v>3753</v>
      </c>
      <c r="AT85" s="2">
        <v>83</v>
      </c>
      <c r="AU85">
        <v>3773</v>
      </c>
      <c r="AV85" s="3">
        <v>0.59836</v>
      </c>
      <c r="AW85">
        <v>3773</v>
      </c>
      <c r="AX85" s="2">
        <v>378</v>
      </c>
      <c r="AY85">
        <v>3706</v>
      </c>
    </row>
    <row r="86" spans="34:51" x14ac:dyDescent="0.25">
      <c r="AH86">
        <v>84</v>
      </c>
      <c r="AI86">
        <v>3649</v>
      </c>
      <c r="AJ86">
        <f t="shared" si="13"/>
        <v>525.57358180323376</v>
      </c>
      <c r="AK86">
        <f t="shared" si="14"/>
        <v>2.1007299102705785E-3</v>
      </c>
      <c r="AL86">
        <f t="shared" si="15"/>
        <v>0.16826179445552172</v>
      </c>
      <c r="AQ86">
        <v>0.7678895</v>
      </c>
      <c r="AR86">
        <v>353</v>
      </c>
      <c r="AS86">
        <v>3842</v>
      </c>
      <c r="AT86" s="2">
        <v>84</v>
      </c>
      <c r="AU86">
        <v>3857</v>
      </c>
      <c r="AV86" s="3">
        <v>0.85669552999999998</v>
      </c>
      <c r="AW86">
        <v>3857</v>
      </c>
      <c r="AX86" s="2">
        <v>321</v>
      </c>
      <c r="AY86">
        <v>3707</v>
      </c>
    </row>
    <row r="87" spans="34:51" x14ac:dyDescent="0.25">
      <c r="AH87">
        <v>85</v>
      </c>
      <c r="AI87">
        <v>3735</v>
      </c>
      <c r="AJ87">
        <f t="shared" si="13"/>
        <v>513.47202141900937</v>
      </c>
      <c r="AK87">
        <f t="shared" si="14"/>
        <v>2.0523596901144154E-3</v>
      </c>
      <c r="AL87">
        <f t="shared" si="15"/>
        <v>0.17031415414563614</v>
      </c>
      <c r="AQ87">
        <v>0.66213292000000001</v>
      </c>
      <c r="AR87">
        <v>19</v>
      </c>
      <c r="AS87">
        <v>3805</v>
      </c>
      <c r="AT87" s="2">
        <v>85</v>
      </c>
      <c r="AU87">
        <v>3915</v>
      </c>
      <c r="AV87" s="3">
        <v>0.35457712000000002</v>
      </c>
      <c r="AW87">
        <v>3915</v>
      </c>
      <c r="AX87" s="2">
        <v>108</v>
      </c>
      <c r="AY87">
        <v>3707</v>
      </c>
    </row>
    <row r="88" spans="34:51" x14ac:dyDescent="0.25">
      <c r="AH88">
        <v>86</v>
      </c>
      <c r="AI88">
        <v>3643</v>
      </c>
      <c r="AJ88">
        <f t="shared" si="13"/>
        <v>526.43919846280539</v>
      </c>
      <c r="AK88">
        <f t="shared" si="14"/>
        <v>2.1041898003231791E-3</v>
      </c>
      <c r="AL88">
        <f t="shared" si="15"/>
        <v>0.17241834394595931</v>
      </c>
      <c r="AQ88">
        <v>0.55868733000000004</v>
      </c>
      <c r="AR88">
        <v>480</v>
      </c>
      <c r="AS88">
        <v>3839</v>
      </c>
      <c r="AT88" s="2">
        <v>86</v>
      </c>
      <c r="AU88">
        <v>3787</v>
      </c>
      <c r="AV88" s="3">
        <v>0.47976780000000002</v>
      </c>
      <c r="AW88">
        <v>3787</v>
      </c>
      <c r="AX88" s="2">
        <v>61</v>
      </c>
      <c r="AY88">
        <v>3707</v>
      </c>
    </row>
    <row r="89" spans="34:51" x14ac:dyDescent="0.25">
      <c r="AH89">
        <v>87</v>
      </c>
      <c r="AI89">
        <v>3744</v>
      </c>
      <c r="AJ89">
        <f t="shared" si="13"/>
        <v>512.23771367521363</v>
      </c>
      <c r="AK89">
        <f t="shared" si="14"/>
        <v>2.0474261331670249E-3</v>
      </c>
      <c r="AL89">
        <f t="shared" si="15"/>
        <v>0.17446577007912634</v>
      </c>
      <c r="AQ89">
        <v>0.31867009000000002</v>
      </c>
      <c r="AR89">
        <v>453</v>
      </c>
      <c r="AS89">
        <v>3817</v>
      </c>
      <c r="AT89" s="2">
        <v>87</v>
      </c>
      <c r="AU89">
        <v>3867</v>
      </c>
      <c r="AV89" s="3">
        <v>0.93518942999999999</v>
      </c>
      <c r="AW89">
        <v>3867</v>
      </c>
      <c r="AX89" s="2">
        <v>284</v>
      </c>
      <c r="AY89">
        <v>3708</v>
      </c>
    </row>
    <row r="90" spans="34:51" x14ac:dyDescent="0.25">
      <c r="AH90">
        <v>88</v>
      </c>
      <c r="AI90">
        <v>3809</v>
      </c>
      <c r="AJ90">
        <f t="shared" si="13"/>
        <v>503.49645576266738</v>
      </c>
      <c r="AK90">
        <f t="shared" si="14"/>
        <v>2.0124871206556425E-3</v>
      </c>
      <c r="AL90">
        <f t="shared" si="15"/>
        <v>0.17647825719978197</v>
      </c>
      <c r="AQ90">
        <v>0.12728381</v>
      </c>
      <c r="AR90">
        <v>273</v>
      </c>
      <c r="AS90">
        <v>3713</v>
      </c>
      <c r="AT90" s="2">
        <v>88</v>
      </c>
      <c r="AU90">
        <v>3819</v>
      </c>
      <c r="AV90" s="4">
        <v>1.344359E-2</v>
      </c>
      <c r="AW90">
        <v>3819</v>
      </c>
      <c r="AX90" s="2">
        <v>234</v>
      </c>
      <c r="AY90">
        <v>3709</v>
      </c>
    </row>
    <row r="91" spans="34:51" x14ac:dyDescent="0.25">
      <c r="AH91">
        <v>89</v>
      </c>
      <c r="AI91">
        <v>3885</v>
      </c>
      <c r="AJ91">
        <f t="shared" si="13"/>
        <v>493.64684684684687</v>
      </c>
      <c r="AK91">
        <f t="shared" si="14"/>
        <v>1.973118003237411E-3</v>
      </c>
      <c r="AL91">
        <f t="shared" si="15"/>
        <v>0.17845137520301937</v>
      </c>
      <c r="AQ91">
        <v>0.12325662</v>
      </c>
      <c r="AR91">
        <v>200</v>
      </c>
      <c r="AS91">
        <v>3833</v>
      </c>
      <c r="AT91" s="2">
        <v>89</v>
      </c>
      <c r="AU91">
        <v>3875</v>
      </c>
      <c r="AV91" s="3">
        <v>0.65684931999999996</v>
      </c>
      <c r="AW91">
        <v>3875</v>
      </c>
      <c r="AX91" s="2">
        <v>425</v>
      </c>
      <c r="AY91">
        <v>3710</v>
      </c>
    </row>
    <row r="92" spans="34:51" x14ac:dyDescent="0.25">
      <c r="AH92">
        <v>90</v>
      </c>
      <c r="AI92">
        <v>3919</v>
      </c>
      <c r="AJ92">
        <f t="shared" si="13"/>
        <v>489.36412350089307</v>
      </c>
      <c r="AK92">
        <f t="shared" si="14"/>
        <v>1.9559998577640576E-3</v>
      </c>
      <c r="AL92">
        <f t="shared" si="15"/>
        <v>0.18040737506078344</v>
      </c>
      <c r="AQ92">
        <v>0.80739629000000002</v>
      </c>
      <c r="AR92">
        <v>26</v>
      </c>
      <c r="AS92">
        <v>3691</v>
      </c>
      <c r="AT92" s="2">
        <v>90</v>
      </c>
      <c r="AU92">
        <v>3750</v>
      </c>
      <c r="AV92" s="3">
        <v>0.39460646999999999</v>
      </c>
      <c r="AW92">
        <v>3750</v>
      </c>
      <c r="AX92" s="2">
        <v>270</v>
      </c>
      <c r="AY92">
        <v>3710</v>
      </c>
    </row>
    <row r="93" spans="34:51" x14ac:dyDescent="0.25">
      <c r="AH93">
        <v>91</v>
      </c>
      <c r="AI93">
        <v>3813</v>
      </c>
      <c r="AJ93">
        <f t="shared" si="13"/>
        <v>502.96826645685809</v>
      </c>
      <c r="AK93">
        <f t="shared" si="14"/>
        <v>2.010375935635285E-3</v>
      </c>
      <c r="AL93">
        <f t="shared" si="15"/>
        <v>0.18241775099641871</v>
      </c>
      <c r="AQ93">
        <v>0.92630296999999995</v>
      </c>
      <c r="AR93">
        <v>370</v>
      </c>
      <c r="AS93">
        <v>3739</v>
      </c>
      <c r="AT93" s="2">
        <v>91</v>
      </c>
      <c r="AU93">
        <v>3758</v>
      </c>
      <c r="AV93" s="3">
        <v>0.10070759</v>
      </c>
      <c r="AW93">
        <v>3758</v>
      </c>
      <c r="AX93" s="2">
        <v>195</v>
      </c>
      <c r="AY93">
        <v>3712</v>
      </c>
    </row>
    <row r="94" spans="34:51" x14ac:dyDescent="0.25">
      <c r="AH94">
        <v>92</v>
      </c>
      <c r="AI94">
        <v>3911</v>
      </c>
      <c r="AJ94">
        <f t="shared" si="13"/>
        <v>490.36512400920481</v>
      </c>
      <c r="AK94">
        <f t="shared" si="14"/>
        <v>1.9600008802294405E-3</v>
      </c>
      <c r="AL94">
        <f t="shared" si="15"/>
        <v>0.18437775187664815</v>
      </c>
      <c r="AQ94">
        <v>0.49310588999999999</v>
      </c>
      <c r="AR94">
        <v>220</v>
      </c>
      <c r="AS94">
        <v>3638</v>
      </c>
      <c r="AT94" s="2">
        <v>92</v>
      </c>
      <c r="AU94">
        <v>3753</v>
      </c>
      <c r="AV94" s="3">
        <v>0.66178656000000002</v>
      </c>
      <c r="AW94">
        <v>3753</v>
      </c>
      <c r="AX94" s="2">
        <v>432</v>
      </c>
      <c r="AY94">
        <v>3713</v>
      </c>
    </row>
    <row r="95" spans="34:51" x14ac:dyDescent="0.25">
      <c r="AH95">
        <v>93</v>
      </c>
      <c r="AI95">
        <v>3840</v>
      </c>
      <c r="AJ95">
        <f t="shared" si="13"/>
        <v>499.43177083333336</v>
      </c>
      <c r="AK95">
        <f t="shared" si="14"/>
        <v>1.9962404798378494E-3</v>
      </c>
      <c r="AL95">
        <f t="shared" si="15"/>
        <v>0.186373992356486</v>
      </c>
      <c r="AQ95">
        <v>0.70962828</v>
      </c>
      <c r="AR95">
        <v>52</v>
      </c>
      <c r="AS95">
        <v>3681</v>
      </c>
      <c r="AT95" s="2">
        <v>93</v>
      </c>
      <c r="AU95">
        <v>3722</v>
      </c>
      <c r="AV95" s="3">
        <v>0.62790268999999999</v>
      </c>
      <c r="AW95">
        <v>3722</v>
      </c>
      <c r="AX95" s="2">
        <v>97</v>
      </c>
      <c r="AY95">
        <v>3713</v>
      </c>
    </row>
    <row r="96" spans="34:51" x14ac:dyDescent="0.25">
      <c r="AH96">
        <v>94</v>
      </c>
      <c r="AI96">
        <v>3744</v>
      </c>
      <c r="AJ96">
        <f t="shared" si="13"/>
        <v>512.23771367521363</v>
      </c>
      <c r="AK96">
        <f t="shared" si="14"/>
        <v>2.0474261331670249E-3</v>
      </c>
      <c r="AL96">
        <f t="shared" si="15"/>
        <v>0.18842141848965302</v>
      </c>
      <c r="AQ96">
        <v>0.24676764000000001</v>
      </c>
      <c r="AR96">
        <v>304</v>
      </c>
      <c r="AS96">
        <v>3722</v>
      </c>
      <c r="AT96" s="2">
        <v>94</v>
      </c>
      <c r="AU96">
        <v>3806</v>
      </c>
      <c r="AV96" s="3">
        <v>0.71899521</v>
      </c>
      <c r="AW96">
        <v>3806</v>
      </c>
      <c r="AX96" s="2">
        <v>292</v>
      </c>
      <c r="AY96">
        <v>3713</v>
      </c>
    </row>
    <row r="97" spans="34:51" x14ac:dyDescent="0.25">
      <c r="AH97">
        <v>95</v>
      </c>
      <c r="AI97">
        <v>3821</v>
      </c>
      <c r="AJ97">
        <f t="shared" si="13"/>
        <v>501.91520544360117</v>
      </c>
      <c r="AK97">
        <f t="shared" si="14"/>
        <v>2.0061668261128871E-3</v>
      </c>
      <c r="AL97">
        <f t="shared" si="15"/>
        <v>0.1904275853157659</v>
      </c>
      <c r="AQ97">
        <v>0.26272994</v>
      </c>
      <c r="AR97">
        <v>37</v>
      </c>
      <c r="AS97">
        <v>3757</v>
      </c>
      <c r="AT97" s="2">
        <v>95</v>
      </c>
      <c r="AU97">
        <v>3757</v>
      </c>
      <c r="AV97" s="3">
        <v>0.66489487999999997</v>
      </c>
      <c r="AW97">
        <v>3757</v>
      </c>
      <c r="AX97" s="2">
        <v>337</v>
      </c>
      <c r="AY97">
        <v>3713</v>
      </c>
    </row>
    <row r="98" spans="34:51" x14ac:dyDescent="0.25">
      <c r="AH98">
        <v>96</v>
      </c>
      <c r="AI98">
        <v>3727</v>
      </c>
      <c r="AJ98">
        <f t="shared" si="13"/>
        <v>514.5741883552455</v>
      </c>
      <c r="AK98">
        <f t="shared" si="14"/>
        <v>2.0567650771605426E-3</v>
      </c>
      <c r="AL98">
        <f t="shared" si="15"/>
        <v>0.19248435039292644</v>
      </c>
      <c r="AQ98">
        <v>0.77020191999999998</v>
      </c>
      <c r="AR98">
        <v>220</v>
      </c>
      <c r="AS98">
        <v>3638</v>
      </c>
      <c r="AT98" s="2">
        <v>96</v>
      </c>
      <c r="AU98">
        <v>3638</v>
      </c>
      <c r="AV98" s="3">
        <v>0.60716413999999996</v>
      </c>
      <c r="AW98">
        <v>3638</v>
      </c>
      <c r="AX98" s="2">
        <v>103</v>
      </c>
      <c r="AY98">
        <v>3714</v>
      </c>
    </row>
    <row r="99" spans="34:51" x14ac:dyDescent="0.25">
      <c r="AH99">
        <v>97</v>
      </c>
      <c r="AI99">
        <v>3880</v>
      </c>
      <c r="AJ99">
        <f t="shared" si="13"/>
        <v>494.28298969072165</v>
      </c>
      <c r="AK99">
        <f t="shared" si="14"/>
        <v>1.9756606810766345E-3</v>
      </c>
      <c r="AL99">
        <f t="shared" si="15"/>
        <v>0.19446001107400307</v>
      </c>
      <c r="AQ99">
        <v>0.26920933000000002</v>
      </c>
      <c r="AR99">
        <v>24</v>
      </c>
      <c r="AS99">
        <v>3694</v>
      </c>
      <c r="AT99" s="2">
        <v>97</v>
      </c>
      <c r="AU99">
        <v>3750</v>
      </c>
      <c r="AV99" s="3">
        <v>0.12795155999999999</v>
      </c>
      <c r="AW99">
        <v>3750</v>
      </c>
      <c r="AX99" s="2">
        <v>497</v>
      </c>
      <c r="AY99">
        <v>3716</v>
      </c>
    </row>
    <row r="100" spans="34:51" x14ac:dyDescent="0.25">
      <c r="AH100">
        <v>98</v>
      </c>
      <c r="AI100">
        <v>3736</v>
      </c>
      <c r="AJ100">
        <f t="shared" si="13"/>
        <v>513.33458244111353</v>
      </c>
      <c r="AK100">
        <f t="shared" si="14"/>
        <v>2.0518103433022866E-3</v>
      </c>
      <c r="AL100">
        <f t="shared" si="15"/>
        <v>0.19651182141730536</v>
      </c>
      <c r="AQ100">
        <v>0.64541709000000003</v>
      </c>
      <c r="AR100">
        <v>80</v>
      </c>
      <c r="AS100">
        <v>3832</v>
      </c>
      <c r="AT100" s="2">
        <v>98</v>
      </c>
      <c r="AU100">
        <v>3874</v>
      </c>
      <c r="AV100" s="3">
        <v>0.46030366</v>
      </c>
      <c r="AW100">
        <v>3874</v>
      </c>
      <c r="AX100" s="2">
        <v>463</v>
      </c>
      <c r="AY100">
        <v>3717</v>
      </c>
    </row>
    <row r="101" spans="34:51" x14ac:dyDescent="0.25">
      <c r="AH101">
        <v>99</v>
      </c>
      <c r="AI101">
        <v>3744</v>
      </c>
      <c r="AJ101">
        <f t="shared" si="13"/>
        <v>512.23771367521363</v>
      </c>
      <c r="AK101">
        <f t="shared" si="14"/>
        <v>2.0474261331670249E-3</v>
      </c>
      <c r="AL101">
        <f t="shared" si="15"/>
        <v>0.19855924755047238</v>
      </c>
      <c r="AQ101">
        <v>8.4603849999999994E-2</v>
      </c>
      <c r="AR101">
        <v>378</v>
      </c>
      <c r="AS101">
        <v>3698</v>
      </c>
      <c r="AT101" s="2">
        <v>99</v>
      </c>
      <c r="AU101">
        <v>3745</v>
      </c>
      <c r="AV101" s="3">
        <v>0.96660429000000003</v>
      </c>
      <c r="AW101">
        <v>3745</v>
      </c>
      <c r="AX101" s="2">
        <v>438</v>
      </c>
      <c r="AY101">
        <v>3717</v>
      </c>
    </row>
    <row r="102" spans="34:51" x14ac:dyDescent="0.25">
      <c r="AH102">
        <v>100</v>
      </c>
      <c r="AI102">
        <v>3873</v>
      </c>
      <c r="AJ102">
        <f t="shared" si="13"/>
        <v>495.17634908339789</v>
      </c>
      <c r="AK102">
        <f t="shared" si="14"/>
        <v>1.979231459482918E-3</v>
      </c>
      <c r="AL102">
        <f t="shared" si="15"/>
        <v>0.20053847900995531</v>
      </c>
      <c r="AQ102">
        <v>0.50111340999999998</v>
      </c>
      <c r="AR102">
        <v>72</v>
      </c>
      <c r="AS102">
        <v>3739</v>
      </c>
      <c r="AT102" s="2">
        <v>100</v>
      </c>
      <c r="AU102">
        <v>3721</v>
      </c>
      <c r="AV102" s="3">
        <v>0.37513161</v>
      </c>
      <c r="AW102">
        <v>3721</v>
      </c>
      <c r="AX102" s="2">
        <v>194</v>
      </c>
      <c r="AY102">
        <v>3717</v>
      </c>
    </row>
    <row r="103" spans="34:51" x14ac:dyDescent="0.25">
      <c r="AH103">
        <v>101</v>
      </c>
      <c r="AI103">
        <v>3818</v>
      </c>
      <c r="AJ103">
        <f t="shared" si="13"/>
        <v>502.30958617077005</v>
      </c>
      <c r="AK103">
        <f t="shared" si="14"/>
        <v>2.0077431751119282E-3</v>
      </c>
      <c r="AL103">
        <f t="shared" si="15"/>
        <v>0.20254622218506724</v>
      </c>
      <c r="AQ103">
        <v>0.73687524000000004</v>
      </c>
      <c r="AR103">
        <v>448</v>
      </c>
      <c r="AS103">
        <v>3565</v>
      </c>
      <c r="AT103" s="2">
        <v>101</v>
      </c>
      <c r="AU103">
        <v>3702</v>
      </c>
      <c r="AV103" s="3">
        <v>5.4762070000000003E-2</v>
      </c>
      <c r="AW103">
        <v>3702</v>
      </c>
      <c r="AX103" s="2">
        <v>35</v>
      </c>
      <c r="AY103">
        <v>3718</v>
      </c>
    </row>
    <row r="104" spans="34:51" x14ac:dyDescent="0.25">
      <c r="AH104">
        <v>102</v>
      </c>
      <c r="AI104">
        <v>3930</v>
      </c>
      <c r="AJ104">
        <f t="shared" si="13"/>
        <v>487.99440203562341</v>
      </c>
      <c r="AK104">
        <f t="shared" si="14"/>
        <v>1.9505250490018681E-3</v>
      </c>
      <c r="AL104">
        <f t="shared" si="15"/>
        <v>0.2044967472340691</v>
      </c>
      <c r="AQ104">
        <v>0.51121819000000002</v>
      </c>
      <c r="AR104">
        <v>379</v>
      </c>
      <c r="AS104">
        <v>3696</v>
      </c>
      <c r="AT104" s="2">
        <v>102</v>
      </c>
      <c r="AU104">
        <v>3756</v>
      </c>
      <c r="AV104" s="3">
        <v>0.23773348</v>
      </c>
      <c r="AW104">
        <v>3756</v>
      </c>
      <c r="AX104" s="2">
        <v>100</v>
      </c>
      <c r="AY104">
        <v>3718</v>
      </c>
    </row>
    <row r="105" spans="34:51" x14ac:dyDescent="0.25">
      <c r="AH105">
        <v>103</v>
      </c>
      <c r="AI105">
        <v>3851</v>
      </c>
      <c r="AJ105">
        <f t="shared" si="13"/>
        <v>498.00519345624514</v>
      </c>
      <c r="AK105">
        <f t="shared" si="14"/>
        <v>1.9905384166651109E-3</v>
      </c>
      <c r="AL105">
        <f t="shared" si="15"/>
        <v>0.20648728565073421</v>
      </c>
      <c r="AQ105">
        <v>0.93080406999999998</v>
      </c>
      <c r="AR105">
        <v>34</v>
      </c>
      <c r="AS105">
        <v>3726</v>
      </c>
      <c r="AT105" s="2">
        <v>103</v>
      </c>
      <c r="AU105">
        <v>3723</v>
      </c>
      <c r="AV105" s="3">
        <v>0.21073085</v>
      </c>
      <c r="AW105">
        <v>3723</v>
      </c>
      <c r="AX105" s="2">
        <v>233</v>
      </c>
      <c r="AY105">
        <v>3718</v>
      </c>
    </row>
    <row r="106" spans="34:51" x14ac:dyDescent="0.25">
      <c r="AH106">
        <v>104</v>
      </c>
      <c r="AI106">
        <v>3897</v>
      </c>
      <c r="AJ106">
        <f t="shared" si="13"/>
        <v>492.12676417757251</v>
      </c>
      <c r="AK106">
        <f t="shared" si="14"/>
        <v>1.9670421972228232E-3</v>
      </c>
      <c r="AL106">
        <f t="shared" si="15"/>
        <v>0.20845432784795703</v>
      </c>
      <c r="AQ106">
        <v>0.88170218</v>
      </c>
      <c r="AR106">
        <v>44</v>
      </c>
      <c r="AS106">
        <v>3889</v>
      </c>
      <c r="AT106" s="2">
        <v>104</v>
      </c>
      <c r="AU106">
        <v>4020</v>
      </c>
      <c r="AV106" s="3">
        <v>0.16350389000000001</v>
      </c>
      <c r="AW106">
        <v>4020</v>
      </c>
      <c r="AX106" s="2">
        <v>3</v>
      </c>
      <c r="AY106">
        <v>3719</v>
      </c>
    </row>
    <row r="107" spans="34:51" x14ac:dyDescent="0.25">
      <c r="AH107">
        <v>105</v>
      </c>
      <c r="AI107">
        <v>3775</v>
      </c>
      <c r="AJ107">
        <f t="shared" si="13"/>
        <v>508.03125827814569</v>
      </c>
      <c r="AK107">
        <f t="shared" si="14"/>
        <v>2.0306128324708191E-3</v>
      </c>
      <c r="AL107">
        <f t="shared" si="15"/>
        <v>0.21048494068042786</v>
      </c>
      <c r="AQ107">
        <v>8.7540569999999998E-2</v>
      </c>
      <c r="AR107">
        <v>294</v>
      </c>
      <c r="AS107">
        <v>3674</v>
      </c>
      <c r="AT107" s="2">
        <v>105</v>
      </c>
      <c r="AU107">
        <v>3717</v>
      </c>
      <c r="AV107" s="3">
        <v>0.37738937</v>
      </c>
      <c r="AW107">
        <v>3717</v>
      </c>
      <c r="AX107" s="2">
        <v>265</v>
      </c>
      <c r="AY107">
        <v>3719</v>
      </c>
    </row>
    <row r="108" spans="34:51" x14ac:dyDescent="0.25">
      <c r="AH108">
        <v>106</v>
      </c>
      <c r="AI108">
        <v>3930</v>
      </c>
      <c r="AJ108">
        <f t="shared" si="13"/>
        <v>487.99440203562341</v>
      </c>
      <c r="AK108">
        <f t="shared" si="14"/>
        <v>1.9505250490018681E-3</v>
      </c>
      <c r="AL108">
        <f t="shared" si="15"/>
        <v>0.21243546572942973</v>
      </c>
      <c r="AQ108">
        <v>0.23192728000000001</v>
      </c>
      <c r="AR108">
        <v>369</v>
      </c>
      <c r="AS108">
        <v>3686</v>
      </c>
      <c r="AT108" s="2">
        <v>106</v>
      </c>
      <c r="AU108">
        <v>3686</v>
      </c>
      <c r="AV108" s="3">
        <v>0.45661913999999998</v>
      </c>
      <c r="AW108">
        <v>3686</v>
      </c>
      <c r="AX108" s="2">
        <v>126</v>
      </c>
      <c r="AY108">
        <v>3721</v>
      </c>
    </row>
    <row r="109" spans="34:51" x14ac:dyDescent="0.25">
      <c r="AH109">
        <v>107</v>
      </c>
      <c r="AI109">
        <v>3854</v>
      </c>
      <c r="AJ109">
        <f t="shared" si="13"/>
        <v>497.61754021795537</v>
      </c>
      <c r="AK109">
        <f t="shared" si="14"/>
        <v>1.9889889575966119E-3</v>
      </c>
      <c r="AL109">
        <f t="shared" si="15"/>
        <v>0.21442445468702634</v>
      </c>
      <c r="AQ109">
        <v>0.70056158000000002</v>
      </c>
      <c r="AR109">
        <v>238</v>
      </c>
      <c r="AS109">
        <v>3867</v>
      </c>
      <c r="AT109" s="2">
        <v>107</v>
      </c>
      <c r="AU109">
        <v>3865</v>
      </c>
      <c r="AV109" s="3">
        <v>0.24377114</v>
      </c>
      <c r="AW109">
        <v>3865</v>
      </c>
      <c r="AX109" s="2">
        <v>375</v>
      </c>
      <c r="AY109">
        <v>3721</v>
      </c>
    </row>
    <row r="110" spans="34:51" x14ac:dyDescent="0.25">
      <c r="AH110">
        <v>108</v>
      </c>
      <c r="AI110">
        <v>3804</v>
      </c>
      <c r="AJ110">
        <f t="shared" si="13"/>
        <v>504.15825446898003</v>
      </c>
      <c r="AK110">
        <f t="shared" si="14"/>
        <v>2.0151323455776396E-3</v>
      </c>
      <c r="AL110">
        <f t="shared" si="15"/>
        <v>0.21643958703260399</v>
      </c>
      <c r="AQ110">
        <v>2.6775360000000002E-2</v>
      </c>
      <c r="AR110">
        <v>263</v>
      </c>
      <c r="AS110">
        <v>3820</v>
      </c>
      <c r="AT110" s="2">
        <v>108</v>
      </c>
      <c r="AU110">
        <v>3868</v>
      </c>
      <c r="AV110" s="3">
        <v>0.24529123</v>
      </c>
      <c r="AW110">
        <v>3868</v>
      </c>
      <c r="AX110" s="2">
        <v>200</v>
      </c>
      <c r="AY110">
        <v>3721</v>
      </c>
    </row>
    <row r="111" spans="34:51" x14ac:dyDescent="0.25">
      <c r="AH111">
        <v>109</v>
      </c>
      <c r="AI111">
        <v>3762</v>
      </c>
      <c r="AJ111">
        <f t="shared" si="13"/>
        <v>509.78681552365765</v>
      </c>
      <c r="AK111">
        <f t="shared" si="14"/>
        <v>2.0376298358791445E-3</v>
      </c>
      <c r="AL111">
        <f t="shared" si="15"/>
        <v>0.21847721686848315</v>
      </c>
      <c r="AQ111">
        <v>0.53928392999999997</v>
      </c>
      <c r="AR111">
        <v>407</v>
      </c>
      <c r="AS111">
        <v>3808</v>
      </c>
      <c r="AT111" s="2">
        <v>109</v>
      </c>
      <c r="AU111">
        <v>3837</v>
      </c>
      <c r="AV111" s="3">
        <v>0.83930271999999995</v>
      </c>
      <c r="AW111">
        <v>3837</v>
      </c>
      <c r="AX111" s="2">
        <v>387</v>
      </c>
      <c r="AY111">
        <v>3722</v>
      </c>
    </row>
    <row r="112" spans="34:51" x14ac:dyDescent="0.25">
      <c r="AH112">
        <v>110</v>
      </c>
      <c r="AI112">
        <v>3764</v>
      </c>
      <c r="AJ112">
        <f t="shared" si="13"/>
        <v>509.51594048884164</v>
      </c>
      <c r="AK112">
        <f t="shared" si="14"/>
        <v>2.0365471420237358E-3</v>
      </c>
      <c r="AL112">
        <f t="shared" si="15"/>
        <v>0.22051376401050687</v>
      </c>
      <c r="AQ112">
        <v>0.46580851000000001</v>
      </c>
      <c r="AR112">
        <v>379</v>
      </c>
      <c r="AS112">
        <v>3696</v>
      </c>
      <c r="AT112" s="2">
        <v>110</v>
      </c>
      <c r="AU112">
        <v>3748</v>
      </c>
      <c r="AV112" s="3">
        <v>0.19905292999999999</v>
      </c>
      <c r="AW112">
        <v>3748</v>
      </c>
      <c r="AX112" s="2">
        <v>489</v>
      </c>
      <c r="AY112">
        <v>3723</v>
      </c>
    </row>
    <row r="113" spans="34:51" x14ac:dyDescent="0.25">
      <c r="AH113">
        <v>111</v>
      </c>
      <c r="AI113">
        <v>3905</v>
      </c>
      <c r="AJ113">
        <f t="shared" si="13"/>
        <v>491.11856594110117</v>
      </c>
      <c r="AK113">
        <f t="shared" si="14"/>
        <v>1.9630124052694856E-3</v>
      </c>
      <c r="AL113">
        <f t="shared" si="15"/>
        <v>0.22247677641577637</v>
      </c>
      <c r="AQ113">
        <v>0.48158389000000001</v>
      </c>
      <c r="AR113">
        <v>126</v>
      </c>
      <c r="AS113">
        <v>3671</v>
      </c>
      <c r="AT113" s="2">
        <v>111</v>
      </c>
      <c r="AU113">
        <v>3674</v>
      </c>
      <c r="AV113" s="3">
        <v>0.88194828999999997</v>
      </c>
      <c r="AW113">
        <v>3674</v>
      </c>
      <c r="AX113" s="2">
        <v>209</v>
      </c>
      <c r="AY113">
        <v>3723</v>
      </c>
    </row>
    <row r="114" spans="34:51" x14ac:dyDescent="0.25">
      <c r="AH114">
        <v>112</v>
      </c>
      <c r="AI114">
        <v>3800</v>
      </c>
      <c r="AJ114">
        <f t="shared" si="13"/>
        <v>504.68894736842105</v>
      </c>
      <c r="AK114">
        <f t="shared" si="14"/>
        <v>2.017253537520353E-3</v>
      </c>
      <c r="AL114">
        <f t="shared" si="15"/>
        <v>0.22449402995329673</v>
      </c>
      <c r="AQ114">
        <v>0.48571038</v>
      </c>
      <c r="AR114">
        <v>9</v>
      </c>
      <c r="AS114">
        <v>3895</v>
      </c>
      <c r="AT114" s="2">
        <v>112</v>
      </c>
      <c r="AU114">
        <v>3943</v>
      </c>
      <c r="AV114" s="3">
        <v>0.98432421999999997</v>
      </c>
      <c r="AW114">
        <v>3943</v>
      </c>
      <c r="AX114" s="2">
        <v>15</v>
      </c>
      <c r="AY114">
        <v>3723</v>
      </c>
    </row>
    <row r="115" spans="34:51" x14ac:dyDescent="0.25">
      <c r="AH115">
        <v>113</v>
      </c>
      <c r="AI115">
        <v>4019</v>
      </c>
      <c r="AJ115">
        <f t="shared" si="13"/>
        <v>477.18785767603879</v>
      </c>
      <c r="AK115">
        <f t="shared" si="14"/>
        <v>1.9073310382128244E-3</v>
      </c>
      <c r="AL115">
        <f t="shared" si="15"/>
        <v>0.22640136099150956</v>
      </c>
      <c r="AQ115">
        <v>6.4729999999999996E-3</v>
      </c>
      <c r="AR115">
        <v>272</v>
      </c>
      <c r="AS115">
        <v>3642</v>
      </c>
      <c r="AT115" s="2">
        <v>113</v>
      </c>
      <c r="AU115">
        <v>3642</v>
      </c>
      <c r="AV115" s="3">
        <v>0.91151040999999999</v>
      </c>
      <c r="AW115">
        <v>3642</v>
      </c>
      <c r="AX115" s="2">
        <v>413</v>
      </c>
      <c r="AY115">
        <v>3725</v>
      </c>
    </row>
    <row r="116" spans="34:51" x14ac:dyDescent="0.25">
      <c r="AH116">
        <v>114</v>
      </c>
      <c r="AI116">
        <v>3653</v>
      </c>
      <c r="AJ116">
        <f t="shared" si="13"/>
        <v>524.99808376676708</v>
      </c>
      <c r="AK116">
        <f t="shared" si="14"/>
        <v>2.0984296311462747E-3</v>
      </c>
      <c r="AL116">
        <f t="shared" si="15"/>
        <v>0.22849979062265585</v>
      </c>
      <c r="AQ116">
        <v>0.78225887000000005</v>
      </c>
      <c r="AR116">
        <v>272</v>
      </c>
      <c r="AS116">
        <v>3642</v>
      </c>
      <c r="AT116" s="2">
        <v>114</v>
      </c>
      <c r="AU116">
        <v>3642</v>
      </c>
      <c r="AV116" s="3">
        <v>0.36450993999999998</v>
      </c>
      <c r="AW116">
        <v>3642</v>
      </c>
      <c r="AX116" s="2">
        <v>62</v>
      </c>
      <c r="AY116">
        <v>3725</v>
      </c>
    </row>
    <row r="117" spans="34:51" x14ac:dyDescent="0.25">
      <c r="AH117">
        <v>115</v>
      </c>
      <c r="AI117">
        <v>3872</v>
      </c>
      <c r="AJ117">
        <f t="shared" si="13"/>
        <v>495.3042355371901</v>
      </c>
      <c r="AK117">
        <f t="shared" si="14"/>
        <v>1.9797426246325779E-3</v>
      </c>
      <c r="AL117">
        <f t="shared" si="15"/>
        <v>0.23047953324728843</v>
      </c>
      <c r="AQ117">
        <v>0.62818008999999997</v>
      </c>
      <c r="AR117">
        <v>194</v>
      </c>
      <c r="AS117">
        <v>3617</v>
      </c>
      <c r="AT117" s="2">
        <v>115</v>
      </c>
      <c r="AU117">
        <v>3792</v>
      </c>
      <c r="AV117" s="3">
        <v>0.48933703000000001</v>
      </c>
      <c r="AW117">
        <v>3792</v>
      </c>
      <c r="AX117" s="2">
        <v>169</v>
      </c>
      <c r="AY117">
        <v>3726</v>
      </c>
    </row>
    <row r="118" spans="34:51" x14ac:dyDescent="0.25">
      <c r="AH118">
        <v>116</v>
      </c>
      <c r="AI118">
        <v>3910</v>
      </c>
      <c r="AJ118">
        <f t="shared" si="13"/>
        <v>490.49053708439897</v>
      </c>
      <c r="AK118">
        <f t="shared" si="14"/>
        <v>1.9605021592269418E-3</v>
      </c>
      <c r="AL118">
        <f t="shared" si="15"/>
        <v>0.23244003540651537</v>
      </c>
      <c r="AQ118">
        <v>8.0800100000000003E-3</v>
      </c>
      <c r="AR118">
        <v>100</v>
      </c>
      <c r="AS118">
        <v>3873</v>
      </c>
      <c r="AT118" s="2">
        <v>116</v>
      </c>
      <c r="AU118">
        <v>3869</v>
      </c>
      <c r="AV118" s="3">
        <v>0.10087872000000001</v>
      </c>
      <c r="AW118">
        <v>3869</v>
      </c>
      <c r="AX118" s="2">
        <v>359</v>
      </c>
      <c r="AY118">
        <v>3726</v>
      </c>
    </row>
    <row r="119" spans="34:51" x14ac:dyDescent="0.25">
      <c r="AH119">
        <v>117</v>
      </c>
      <c r="AI119">
        <v>3855</v>
      </c>
      <c r="AJ119">
        <f t="shared" si="13"/>
        <v>497.48845654993517</v>
      </c>
      <c r="AK119">
        <f t="shared" si="14"/>
        <v>1.9884730071536554E-3</v>
      </c>
      <c r="AL119">
        <f t="shared" si="15"/>
        <v>0.23442850841366902</v>
      </c>
      <c r="AQ119">
        <v>0.80288952999999996</v>
      </c>
      <c r="AR119">
        <v>250</v>
      </c>
      <c r="AS119">
        <v>3788</v>
      </c>
      <c r="AT119" s="2">
        <v>117</v>
      </c>
      <c r="AU119">
        <v>3704</v>
      </c>
      <c r="AV119" s="3">
        <v>0.99568480000000004</v>
      </c>
      <c r="AW119">
        <v>3704</v>
      </c>
      <c r="AX119" s="2">
        <v>364</v>
      </c>
      <c r="AY119">
        <v>3726</v>
      </c>
    </row>
    <row r="120" spans="34:51" x14ac:dyDescent="0.25">
      <c r="AH120">
        <v>118</v>
      </c>
      <c r="AI120">
        <v>3718</v>
      </c>
      <c r="AJ120">
        <f t="shared" si="13"/>
        <v>515.8197955890264</v>
      </c>
      <c r="AK120">
        <f t="shared" si="14"/>
        <v>2.0617437984339275E-3</v>
      </c>
      <c r="AL120">
        <f t="shared" si="15"/>
        <v>0.23649025221210296</v>
      </c>
      <c r="AQ120">
        <v>0.55243313000000005</v>
      </c>
      <c r="AR120">
        <v>414</v>
      </c>
      <c r="AS120">
        <v>3879</v>
      </c>
      <c r="AT120" s="2">
        <v>118</v>
      </c>
      <c r="AU120">
        <v>3735</v>
      </c>
      <c r="AV120" s="3">
        <v>6.0473079999999999E-2</v>
      </c>
      <c r="AW120">
        <v>3735</v>
      </c>
      <c r="AX120" s="2">
        <v>112</v>
      </c>
      <c r="AY120">
        <v>3726</v>
      </c>
    </row>
    <row r="121" spans="34:51" x14ac:dyDescent="0.25">
      <c r="AH121">
        <v>119</v>
      </c>
      <c r="AI121">
        <v>3857</v>
      </c>
      <c r="AJ121">
        <f t="shared" si="13"/>
        <v>497.23049001814883</v>
      </c>
      <c r="AK121">
        <f t="shared" si="14"/>
        <v>1.9874419088870476E-3</v>
      </c>
      <c r="AL121">
        <f t="shared" si="15"/>
        <v>0.23847769412099001</v>
      </c>
      <c r="AQ121">
        <v>8.9385809999999996E-2</v>
      </c>
      <c r="AR121">
        <v>469</v>
      </c>
      <c r="AS121">
        <v>3865</v>
      </c>
      <c r="AT121" s="2">
        <v>119</v>
      </c>
      <c r="AU121">
        <v>3758</v>
      </c>
      <c r="AV121" s="3">
        <v>0.80598860999999999</v>
      </c>
      <c r="AW121">
        <v>3758</v>
      </c>
      <c r="AX121" s="2">
        <v>333</v>
      </c>
      <c r="AY121">
        <v>3728</v>
      </c>
    </row>
    <row r="122" spans="34:51" x14ac:dyDescent="0.25">
      <c r="AH122">
        <v>120</v>
      </c>
      <c r="AI122">
        <v>3889</v>
      </c>
      <c r="AJ122">
        <f t="shared" si="13"/>
        <v>493.13911031113395</v>
      </c>
      <c r="AK122">
        <f t="shared" si="14"/>
        <v>1.9710885684179331E-3</v>
      </c>
      <c r="AL122">
        <f t="shared" si="15"/>
        <v>0.24044878268940795</v>
      </c>
      <c r="AQ122">
        <v>0.55927729999999998</v>
      </c>
      <c r="AR122">
        <v>345</v>
      </c>
      <c r="AS122">
        <v>3690</v>
      </c>
      <c r="AT122" s="2">
        <v>120</v>
      </c>
      <c r="AU122">
        <v>3703</v>
      </c>
      <c r="AV122" s="3">
        <v>0.18730092000000001</v>
      </c>
      <c r="AW122">
        <v>3703</v>
      </c>
      <c r="AX122" s="2">
        <v>170</v>
      </c>
      <c r="AY122">
        <v>3728</v>
      </c>
    </row>
    <row r="123" spans="34:51" x14ac:dyDescent="0.25">
      <c r="AH123">
        <v>121</v>
      </c>
      <c r="AI123">
        <v>3759</v>
      </c>
      <c r="AJ123">
        <f t="shared" si="13"/>
        <v>510.19366852886407</v>
      </c>
      <c r="AK123">
        <f t="shared" si="14"/>
        <v>2.0392560368654809E-3</v>
      </c>
      <c r="AL123">
        <f t="shared" si="15"/>
        <v>0.24248803872627342</v>
      </c>
      <c r="AQ123">
        <v>0.59485429999999995</v>
      </c>
      <c r="AR123">
        <v>341</v>
      </c>
      <c r="AS123">
        <v>3855</v>
      </c>
      <c r="AT123" s="2">
        <v>121</v>
      </c>
      <c r="AU123">
        <v>3871</v>
      </c>
      <c r="AV123" s="3">
        <v>0.87728733000000003</v>
      </c>
      <c r="AW123">
        <v>3871</v>
      </c>
      <c r="AX123" s="2">
        <v>237</v>
      </c>
      <c r="AY123">
        <v>3729</v>
      </c>
    </row>
    <row r="124" spans="34:51" x14ac:dyDescent="0.25">
      <c r="AH124">
        <v>122</v>
      </c>
      <c r="AI124">
        <v>3932</v>
      </c>
      <c r="AJ124">
        <f t="shared" si="13"/>
        <v>487.74618514750762</v>
      </c>
      <c r="AK124">
        <f t="shared" si="14"/>
        <v>1.9495329202892527E-3</v>
      </c>
      <c r="AL124">
        <f t="shared" si="15"/>
        <v>0.24443757164656268</v>
      </c>
      <c r="AQ124">
        <v>8.9868900000000002E-2</v>
      </c>
      <c r="AR124">
        <v>49</v>
      </c>
      <c r="AS124">
        <v>3726</v>
      </c>
      <c r="AT124" s="2">
        <v>122</v>
      </c>
      <c r="AU124">
        <v>3947</v>
      </c>
      <c r="AV124" s="3">
        <v>0.24305809</v>
      </c>
      <c r="AW124">
        <v>3947</v>
      </c>
      <c r="AX124" s="2">
        <v>302</v>
      </c>
      <c r="AY124">
        <v>3729</v>
      </c>
    </row>
    <row r="125" spans="34:51" x14ac:dyDescent="0.25">
      <c r="AH125">
        <v>123</v>
      </c>
      <c r="AI125">
        <v>3764</v>
      </c>
      <c r="AJ125">
        <f t="shared" si="13"/>
        <v>509.51594048884164</v>
      </c>
      <c r="AK125">
        <f t="shared" si="14"/>
        <v>2.0365471420237358E-3</v>
      </c>
      <c r="AL125">
        <f t="shared" si="15"/>
        <v>0.24647411878858641</v>
      </c>
      <c r="AQ125">
        <v>0.98708826000000005</v>
      </c>
      <c r="AR125">
        <v>459</v>
      </c>
      <c r="AS125">
        <v>3785</v>
      </c>
      <c r="AT125" s="2">
        <v>123</v>
      </c>
      <c r="AU125">
        <v>3799</v>
      </c>
      <c r="AV125" s="4">
        <v>2.6055869999999998E-2</v>
      </c>
      <c r="AW125">
        <v>3799</v>
      </c>
      <c r="AX125" s="2">
        <v>430</v>
      </c>
      <c r="AY125">
        <v>3729</v>
      </c>
    </row>
    <row r="126" spans="34:51" x14ac:dyDescent="0.25">
      <c r="AH126">
        <v>124</v>
      </c>
      <c r="AI126">
        <v>3746</v>
      </c>
      <c r="AJ126">
        <f t="shared" si="13"/>
        <v>511.96422851041109</v>
      </c>
      <c r="AK126">
        <f t="shared" si="14"/>
        <v>2.0463330065609562E-3</v>
      </c>
      <c r="AL126">
        <f t="shared" si="15"/>
        <v>0.24852045179514737</v>
      </c>
      <c r="AQ126">
        <v>0.58614063000000005</v>
      </c>
      <c r="AR126">
        <v>294</v>
      </c>
      <c r="AS126">
        <v>3674</v>
      </c>
      <c r="AT126" s="2">
        <v>124</v>
      </c>
      <c r="AU126">
        <v>3796</v>
      </c>
      <c r="AV126" s="3">
        <v>0.60763847999999998</v>
      </c>
      <c r="AW126">
        <v>3796</v>
      </c>
      <c r="AX126" s="2">
        <v>381</v>
      </c>
      <c r="AY126">
        <v>3729</v>
      </c>
    </row>
    <row r="127" spans="34:51" x14ac:dyDescent="0.25">
      <c r="AH127">
        <v>125</v>
      </c>
      <c r="AI127">
        <v>3709</v>
      </c>
      <c r="AJ127">
        <f t="shared" si="13"/>
        <v>517.0714478296037</v>
      </c>
      <c r="AK127">
        <f t="shared" si="14"/>
        <v>2.0667466817409926E-3</v>
      </c>
      <c r="AL127">
        <f t="shared" si="15"/>
        <v>0.25058719847688837</v>
      </c>
      <c r="AQ127">
        <v>0.60435218000000002</v>
      </c>
      <c r="AR127">
        <v>424</v>
      </c>
      <c r="AS127">
        <v>3730</v>
      </c>
      <c r="AT127" s="2">
        <v>125</v>
      </c>
      <c r="AU127">
        <v>3753</v>
      </c>
      <c r="AV127" s="3">
        <v>0.12591821</v>
      </c>
      <c r="AW127">
        <v>3753</v>
      </c>
      <c r="AX127" s="2">
        <v>471</v>
      </c>
      <c r="AY127">
        <v>3730</v>
      </c>
    </row>
    <row r="128" spans="34:51" x14ac:dyDescent="0.25">
      <c r="AH128">
        <v>126</v>
      </c>
      <c r="AI128">
        <v>3671</v>
      </c>
      <c r="AJ128">
        <f t="shared" si="13"/>
        <v>522.42386270770908</v>
      </c>
      <c r="AK128">
        <f t="shared" si="14"/>
        <v>2.0881404093100902E-3</v>
      </c>
      <c r="AL128">
        <f t="shared" si="15"/>
        <v>0.25267533888619848</v>
      </c>
      <c r="AQ128">
        <v>4.1111590000000003E-2</v>
      </c>
      <c r="AR128">
        <v>475</v>
      </c>
      <c r="AS128">
        <v>3735</v>
      </c>
      <c r="AT128" s="2">
        <v>126</v>
      </c>
      <c r="AU128">
        <v>3614</v>
      </c>
      <c r="AV128" s="3">
        <v>0.84323477999999996</v>
      </c>
      <c r="AW128">
        <v>3614</v>
      </c>
      <c r="AX128" s="2">
        <v>235</v>
      </c>
      <c r="AY128">
        <v>3730</v>
      </c>
    </row>
    <row r="129" spans="34:51" x14ac:dyDescent="0.25">
      <c r="AH129">
        <v>127</v>
      </c>
      <c r="AI129">
        <v>3902</v>
      </c>
      <c r="AJ129">
        <f t="shared" si="13"/>
        <v>491.49615581752948</v>
      </c>
      <c r="AK129">
        <f t="shared" si="14"/>
        <v>1.9645216408450388E-3</v>
      </c>
      <c r="AL129">
        <f t="shared" si="15"/>
        <v>0.25463986052704352</v>
      </c>
      <c r="AQ129">
        <v>0.44415122000000001</v>
      </c>
      <c r="AR129">
        <v>109</v>
      </c>
      <c r="AS129">
        <v>3762</v>
      </c>
      <c r="AT129" s="2">
        <v>127</v>
      </c>
      <c r="AU129">
        <v>3780</v>
      </c>
      <c r="AV129" s="3">
        <v>0.56231779000000004</v>
      </c>
      <c r="AW129">
        <v>3780</v>
      </c>
      <c r="AX129" s="2">
        <v>83</v>
      </c>
      <c r="AY129">
        <v>3731</v>
      </c>
    </row>
    <row r="130" spans="34:51" x14ac:dyDescent="0.25">
      <c r="AH130">
        <v>128</v>
      </c>
      <c r="AI130">
        <v>3815</v>
      </c>
      <c r="AJ130">
        <f t="shared" si="13"/>
        <v>502.70458715596328</v>
      </c>
      <c r="AK130">
        <f t="shared" si="14"/>
        <v>2.0093220032968129E-3</v>
      </c>
      <c r="AL130">
        <f t="shared" si="15"/>
        <v>0.2566491825303403</v>
      </c>
      <c r="AQ130">
        <v>0.53257871000000001</v>
      </c>
      <c r="AR130">
        <v>359</v>
      </c>
      <c r="AS130">
        <v>3852</v>
      </c>
      <c r="AT130" s="2">
        <v>128</v>
      </c>
      <c r="AU130">
        <v>3783</v>
      </c>
      <c r="AV130" s="3">
        <v>0.72947061000000002</v>
      </c>
      <c r="AW130">
        <v>3783</v>
      </c>
      <c r="AX130" s="2">
        <v>475</v>
      </c>
      <c r="AY130">
        <v>3732</v>
      </c>
    </row>
    <row r="131" spans="34:51" x14ac:dyDescent="0.25">
      <c r="AH131">
        <v>129</v>
      </c>
      <c r="AI131">
        <v>3798</v>
      </c>
      <c r="AJ131">
        <f t="shared" si="13"/>
        <v>504.95471300684574</v>
      </c>
      <c r="AK131">
        <f t="shared" si="14"/>
        <v>2.0183158089987735E-3</v>
      </c>
      <c r="AL131">
        <f t="shared" si="15"/>
        <v>0.25866749833933905</v>
      </c>
      <c r="AQ131">
        <v>6.2157089999999998E-2</v>
      </c>
      <c r="AR131">
        <v>357</v>
      </c>
      <c r="AS131">
        <v>3817</v>
      </c>
      <c r="AT131" s="2">
        <v>129</v>
      </c>
      <c r="AU131">
        <v>3827</v>
      </c>
      <c r="AV131" s="3">
        <v>0.44230658</v>
      </c>
      <c r="AW131">
        <v>3827</v>
      </c>
      <c r="AX131" s="2">
        <v>420</v>
      </c>
      <c r="AY131">
        <v>3734</v>
      </c>
    </row>
    <row r="132" spans="34:51" x14ac:dyDescent="0.25">
      <c r="AH132">
        <v>130</v>
      </c>
      <c r="AI132">
        <v>3839</v>
      </c>
      <c r="AJ132">
        <f t="shared" ref="AJ132:AJ195" si="16">$AI$504/AI132</f>
        <v>499.56186506902839</v>
      </c>
      <c r="AK132">
        <f t="shared" ref="AK132:AK195" si="17">AJ132/$AJ$504</f>
        <v>1.9967604695434594E-3</v>
      </c>
      <c r="AL132">
        <f t="shared" ref="AL132:AL195" si="18">AK132+AL131</f>
        <v>0.2606642588088825</v>
      </c>
      <c r="AQ132">
        <v>2.6339410000000001E-2</v>
      </c>
      <c r="AR132">
        <v>286</v>
      </c>
      <c r="AS132">
        <v>3859</v>
      </c>
      <c r="AT132" s="2">
        <v>130</v>
      </c>
      <c r="AU132">
        <v>3881</v>
      </c>
      <c r="AV132" s="3">
        <v>9.8415370000000002E-2</v>
      </c>
      <c r="AW132">
        <v>3881</v>
      </c>
      <c r="AX132" s="2">
        <v>149</v>
      </c>
      <c r="AY132">
        <v>3734</v>
      </c>
    </row>
    <row r="133" spans="34:51" x14ac:dyDescent="0.25">
      <c r="AH133">
        <v>131</v>
      </c>
      <c r="AI133">
        <v>3854</v>
      </c>
      <c r="AJ133">
        <f t="shared" si="16"/>
        <v>497.61754021795537</v>
      </c>
      <c r="AK133">
        <f t="shared" si="17"/>
        <v>1.9889889575966119E-3</v>
      </c>
      <c r="AL133">
        <f t="shared" si="18"/>
        <v>0.26265324776647914</v>
      </c>
      <c r="AQ133">
        <v>0.66254002000000001</v>
      </c>
      <c r="AR133">
        <v>345</v>
      </c>
      <c r="AS133">
        <v>3690</v>
      </c>
      <c r="AT133" s="2">
        <v>131</v>
      </c>
      <c r="AU133">
        <v>3714</v>
      </c>
      <c r="AV133" s="3">
        <v>0.43373888999999999</v>
      </c>
      <c r="AW133">
        <v>3714</v>
      </c>
      <c r="AX133" s="2">
        <v>93</v>
      </c>
      <c r="AY133">
        <v>3735</v>
      </c>
    </row>
    <row r="134" spans="34:51" x14ac:dyDescent="0.25">
      <c r="AH134">
        <v>132</v>
      </c>
      <c r="AI134">
        <v>3834</v>
      </c>
      <c r="AJ134">
        <f t="shared" si="16"/>
        <v>500.2133541992697</v>
      </c>
      <c r="AK134">
        <f t="shared" si="17"/>
        <v>1.9993644868485502E-3</v>
      </c>
      <c r="AL134">
        <f t="shared" si="18"/>
        <v>0.2646526122533277</v>
      </c>
      <c r="AQ134">
        <v>0.60519551999999999</v>
      </c>
      <c r="AR134">
        <v>490</v>
      </c>
      <c r="AS134">
        <v>3759</v>
      </c>
      <c r="AT134" s="2">
        <v>132</v>
      </c>
      <c r="AU134">
        <v>3774</v>
      </c>
      <c r="AV134" s="3">
        <v>0.45431864</v>
      </c>
      <c r="AW134">
        <v>3774</v>
      </c>
      <c r="AX134" s="2">
        <v>29</v>
      </c>
      <c r="AY134">
        <v>3735</v>
      </c>
    </row>
    <row r="135" spans="34:51" x14ac:dyDescent="0.25">
      <c r="AH135">
        <v>133</v>
      </c>
      <c r="AI135">
        <v>3739</v>
      </c>
      <c r="AJ135">
        <f t="shared" si="16"/>
        <v>512.92270660604436</v>
      </c>
      <c r="AK135">
        <f t="shared" si="17"/>
        <v>2.0501640659474035E-3</v>
      </c>
      <c r="AL135">
        <f t="shared" si="18"/>
        <v>0.26670277631927508</v>
      </c>
      <c r="AQ135">
        <v>0.91095704</v>
      </c>
      <c r="AR135">
        <v>3</v>
      </c>
      <c r="AS135">
        <v>3744</v>
      </c>
      <c r="AT135" s="2">
        <v>133</v>
      </c>
      <c r="AU135">
        <v>3726</v>
      </c>
      <c r="AV135" s="3">
        <v>0.50042850000000005</v>
      </c>
      <c r="AW135">
        <v>3726</v>
      </c>
      <c r="AX135" s="2">
        <v>322</v>
      </c>
      <c r="AY135">
        <v>3735</v>
      </c>
    </row>
    <row r="136" spans="34:51" x14ac:dyDescent="0.25">
      <c r="AH136">
        <v>134</v>
      </c>
      <c r="AI136">
        <v>3951</v>
      </c>
      <c r="AJ136">
        <f t="shared" si="16"/>
        <v>485.40065806125034</v>
      </c>
      <c r="AK136">
        <f t="shared" si="17"/>
        <v>1.9401577936161332E-3</v>
      </c>
      <c r="AL136">
        <f t="shared" si="18"/>
        <v>0.2686429341128912</v>
      </c>
      <c r="AQ136">
        <v>0.52998840999999997</v>
      </c>
      <c r="AR136">
        <v>44</v>
      </c>
      <c r="AS136">
        <v>3889</v>
      </c>
      <c r="AT136" s="2">
        <v>134</v>
      </c>
      <c r="AU136">
        <v>3798</v>
      </c>
      <c r="AV136" s="3">
        <v>0.47605156999999998</v>
      </c>
      <c r="AW136">
        <v>3798</v>
      </c>
      <c r="AX136" s="2">
        <v>129</v>
      </c>
      <c r="AY136">
        <v>3736</v>
      </c>
    </row>
    <row r="137" spans="34:51" x14ac:dyDescent="0.25">
      <c r="AH137">
        <v>135</v>
      </c>
      <c r="AI137">
        <v>3874</v>
      </c>
      <c r="AJ137">
        <f t="shared" si="16"/>
        <v>495.04852865255549</v>
      </c>
      <c r="AK137">
        <f t="shared" si="17"/>
        <v>1.9787205582285344E-3</v>
      </c>
      <c r="AL137">
        <f t="shared" si="18"/>
        <v>0.2706216546711197</v>
      </c>
      <c r="AQ137">
        <v>0.25144654999999999</v>
      </c>
      <c r="AR137">
        <v>398</v>
      </c>
      <c r="AS137">
        <v>3809</v>
      </c>
      <c r="AT137" s="2">
        <v>135</v>
      </c>
      <c r="AU137">
        <v>3789</v>
      </c>
      <c r="AV137" s="3">
        <v>0.89482444999999999</v>
      </c>
      <c r="AW137">
        <v>3789</v>
      </c>
      <c r="AX137" s="2">
        <v>317</v>
      </c>
      <c r="AY137">
        <v>3736</v>
      </c>
    </row>
    <row r="138" spans="34:51" x14ac:dyDescent="0.25">
      <c r="AH138">
        <v>136</v>
      </c>
      <c r="AI138">
        <v>3819</v>
      </c>
      <c r="AJ138">
        <f t="shared" si="16"/>
        <v>502.17805708300602</v>
      </c>
      <c r="AK138">
        <f t="shared" si="17"/>
        <v>2.0072174502690082E-3</v>
      </c>
      <c r="AL138">
        <f t="shared" si="18"/>
        <v>0.2726288721213887</v>
      </c>
      <c r="AQ138">
        <v>0.78891540000000004</v>
      </c>
      <c r="AR138">
        <v>273</v>
      </c>
      <c r="AS138">
        <v>3713</v>
      </c>
      <c r="AT138" s="2">
        <v>136</v>
      </c>
      <c r="AU138">
        <v>3849</v>
      </c>
      <c r="AV138" s="3">
        <v>0.53907954999999996</v>
      </c>
      <c r="AW138">
        <v>3849</v>
      </c>
      <c r="AX138" s="2">
        <v>451</v>
      </c>
      <c r="AY138">
        <v>3736</v>
      </c>
    </row>
    <row r="139" spans="34:51" x14ac:dyDescent="0.25">
      <c r="AH139">
        <v>137</v>
      </c>
      <c r="AI139">
        <v>3886</v>
      </c>
      <c r="AJ139">
        <f t="shared" si="16"/>
        <v>493.51981471950592</v>
      </c>
      <c r="AK139">
        <f t="shared" si="17"/>
        <v>1.9726102528505769E-3</v>
      </c>
      <c r="AL139">
        <f t="shared" si="18"/>
        <v>0.27460148237423926</v>
      </c>
      <c r="AQ139">
        <v>0.75847905999999998</v>
      </c>
      <c r="AR139">
        <v>279</v>
      </c>
      <c r="AS139">
        <v>3744</v>
      </c>
      <c r="AT139" s="2">
        <v>137</v>
      </c>
      <c r="AU139">
        <v>3688</v>
      </c>
      <c r="AV139" s="3">
        <v>9.2093049999999996E-2</v>
      </c>
      <c r="AW139">
        <v>3688</v>
      </c>
      <c r="AX139" s="2">
        <v>323</v>
      </c>
      <c r="AY139">
        <v>3737</v>
      </c>
    </row>
    <row r="140" spans="34:51" x14ac:dyDescent="0.25">
      <c r="AH140">
        <v>138</v>
      </c>
      <c r="AI140">
        <v>3681</v>
      </c>
      <c r="AJ140">
        <f t="shared" si="16"/>
        <v>521.00461831024177</v>
      </c>
      <c r="AK140">
        <f t="shared" si="17"/>
        <v>2.0824676562285634E-3</v>
      </c>
      <c r="AL140">
        <f t="shared" si="18"/>
        <v>0.27668395003046781</v>
      </c>
      <c r="AQ140">
        <v>4.137743E-2</v>
      </c>
      <c r="AR140">
        <v>229</v>
      </c>
      <c r="AS140">
        <v>3661</v>
      </c>
      <c r="AT140" s="2">
        <v>138</v>
      </c>
      <c r="AU140">
        <v>3833</v>
      </c>
      <c r="AV140" s="3">
        <v>0.41321611000000003</v>
      </c>
      <c r="AW140">
        <v>3833</v>
      </c>
      <c r="AX140" s="2">
        <v>24</v>
      </c>
      <c r="AY140">
        <v>3738</v>
      </c>
    </row>
    <row r="141" spans="34:51" x14ac:dyDescent="0.25">
      <c r="AH141">
        <v>139</v>
      </c>
      <c r="AI141">
        <v>3835</v>
      </c>
      <c r="AJ141">
        <f t="shared" si="16"/>
        <v>500.08292046936117</v>
      </c>
      <c r="AK141">
        <f t="shared" si="17"/>
        <v>1.9988431401766213E-3</v>
      </c>
      <c r="AL141">
        <f t="shared" si="18"/>
        <v>0.27868279317064443</v>
      </c>
      <c r="AQ141">
        <v>0.80541426000000005</v>
      </c>
      <c r="AR141">
        <v>143</v>
      </c>
      <c r="AS141">
        <v>3748</v>
      </c>
      <c r="AT141" s="2">
        <v>139</v>
      </c>
      <c r="AU141">
        <v>3943</v>
      </c>
      <c r="AV141" s="3">
        <v>0.19685620000000001</v>
      </c>
      <c r="AW141">
        <v>3943</v>
      </c>
      <c r="AX141" s="2">
        <v>34</v>
      </c>
      <c r="AY141">
        <v>3738</v>
      </c>
    </row>
    <row r="142" spans="34:51" x14ac:dyDescent="0.25">
      <c r="AH142">
        <v>140</v>
      </c>
      <c r="AI142">
        <v>3662</v>
      </c>
      <c r="AJ142">
        <f t="shared" si="16"/>
        <v>523.70780993992355</v>
      </c>
      <c r="AK142">
        <f t="shared" si="17"/>
        <v>2.093272376454763E-3</v>
      </c>
      <c r="AL142">
        <f t="shared" si="18"/>
        <v>0.28077606554709916</v>
      </c>
      <c r="AQ142">
        <v>0.11260796000000001</v>
      </c>
      <c r="AR142">
        <v>454</v>
      </c>
      <c r="AS142">
        <v>3812</v>
      </c>
      <c r="AT142" s="2">
        <v>140</v>
      </c>
      <c r="AU142">
        <v>3950</v>
      </c>
      <c r="AV142" s="3">
        <v>0.54240811</v>
      </c>
      <c r="AW142">
        <v>3950</v>
      </c>
      <c r="AX142" s="2">
        <v>23</v>
      </c>
      <c r="AY142">
        <v>3739</v>
      </c>
    </row>
    <row r="143" spans="34:51" x14ac:dyDescent="0.25">
      <c r="AH143">
        <v>141</v>
      </c>
      <c r="AI143">
        <v>3849</v>
      </c>
      <c r="AJ143">
        <f t="shared" si="16"/>
        <v>498.26396466614705</v>
      </c>
      <c r="AK143">
        <f t="shared" si="17"/>
        <v>1.9915727312489846E-3</v>
      </c>
      <c r="AL143">
        <f t="shared" si="18"/>
        <v>0.28276763827834817</v>
      </c>
      <c r="AQ143">
        <v>8.0614270000000002E-2</v>
      </c>
      <c r="AR143">
        <v>182</v>
      </c>
      <c r="AS143">
        <v>3789</v>
      </c>
      <c r="AT143" s="2">
        <v>141</v>
      </c>
      <c r="AU143">
        <v>3954</v>
      </c>
      <c r="AV143" s="3">
        <v>0.60383587999999999</v>
      </c>
      <c r="AW143">
        <v>3954</v>
      </c>
      <c r="AX143" s="2">
        <v>349</v>
      </c>
      <c r="AY143">
        <v>3739</v>
      </c>
    </row>
    <row r="144" spans="34:51" x14ac:dyDescent="0.25">
      <c r="AH144">
        <v>142</v>
      </c>
      <c r="AI144">
        <v>3721</v>
      </c>
      <c r="AJ144">
        <f t="shared" si="16"/>
        <v>515.40392367643108</v>
      </c>
      <c r="AK144">
        <f t="shared" si="17"/>
        <v>2.0600815486636233E-3</v>
      </c>
      <c r="AL144">
        <f t="shared" si="18"/>
        <v>0.28482771982701177</v>
      </c>
      <c r="AQ144">
        <v>0.44533312000000003</v>
      </c>
      <c r="AR144">
        <v>179</v>
      </c>
      <c r="AS144">
        <v>3777</v>
      </c>
      <c r="AT144" s="2">
        <v>142</v>
      </c>
      <c r="AU144">
        <v>3883</v>
      </c>
      <c r="AV144" s="3">
        <v>0.56280207999999998</v>
      </c>
      <c r="AW144">
        <v>3883</v>
      </c>
      <c r="AX144" s="2">
        <v>374</v>
      </c>
      <c r="AY144">
        <v>3739</v>
      </c>
    </row>
    <row r="145" spans="34:51" x14ac:dyDescent="0.25">
      <c r="AH145">
        <v>143</v>
      </c>
      <c r="AI145">
        <v>3748</v>
      </c>
      <c r="AJ145">
        <f t="shared" si="16"/>
        <v>511.69103521878333</v>
      </c>
      <c r="AK145">
        <f t="shared" si="17"/>
        <v>2.0452410465787996E-3</v>
      </c>
      <c r="AL145">
        <f t="shared" si="18"/>
        <v>0.2868729608735906</v>
      </c>
      <c r="AQ145">
        <v>0.73246317999999999</v>
      </c>
      <c r="AR145">
        <v>297</v>
      </c>
      <c r="AS145">
        <v>3788</v>
      </c>
      <c r="AT145" s="2">
        <v>143</v>
      </c>
      <c r="AU145">
        <v>3840</v>
      </c>
      <c r="AV145" s="3">
        <v>0.94365494999999999</v>
      </c>
      <c r="AW145">
        <v>3840</v>
      </c>
      <c r="AX145" s="2">
        <v>174</v>
      </c>
      <c r="AY145">
        <v>3741</v>
      </c>
    </row>
    <row r="146" spans="34:51" x14ac:dyDescent="0.25">
      <c r="AH146">
        <v>144</v>
      </c>
      <c r="AI146">
        <v>3824</v>
      </c>
      <c r="AJ146">
        <f t="shared" si="16"/>
        <v>501.52144351464437</v>
      </c>
      <c r="AK146">
        <f t="shared" si="17"/>
        <v>2.0045929504647862E-3</v>
      </c>
      <c r="AL146">
        <f t="shared" si="18"/>
        <v>0.28887755382405539</v>
      </c>
      <c r="AQ146">
        <v>0.16471314000000001</v>
      </c>
      <c r="AR146">
        <v>257</v>
      </c>
      <c r="AS146">
        <v>3762</v>
      </c>
      <c r="AT146" s="2">
        <v>144</v>
      </c>
      <c r="AU146">
        <v>3814</v>
      </c>
      <c r="AV146" s="3">
        <v>0.96534193000000001</v>
      </c>
      <c r="AW146">
        <v>3814</v>
      </c>
      <c r="AX146" s="2">
        <v>187</v>
      </c>
      <c r="AY146">
        <v>3743</v>
      </c>
    </row>
    <row r="147" spans="34:51" x14ac:dyDescent="0.25">
      <c r="AH147">
        <v>145</v>
      </c>
      <c r="AI147">
        <v>3823</v>
      </c>
      <c r="AJ147">
        <f t="shared" si="16"/>
        <v>501.65262882552969</v>
      </c>
      <c r="AK147">
        <f t="shared" si="17"/>
        <v>2.005117301223474E-3</v>
      </c>
      <c r="AL147">
        <f t="shared" si="18"/>
        <v>0.29088267112527888</v>
      </c>
      <c r="AQ147">
        <v>0.67454283999999998</v>
      </c>
      <c r="AR147">
        <v>326</v>
      </c>
      <c r="AS147">
        <v>3725</v>
      </c>
      <c r="AT147" s="2">
        <v>145</v>
      </c>
      <c r="AU147">
        <v>3642</v>
      </c>
      <c r="AV147" s="3">
        <v>0.59504420000000002</v>
      </c>
      <c r="AW147">
        <v>3642</v>
      </c>
      <c r="AX147" s="2">
        <v>376</v>
      </c>
      <c r="AY147">
        <v>3744</v>
      </c>
    </row>
    <row r="148" spans="34:51" x14ac:dyDescent="0.25">
      <c r="AH148">
        <v>146</v>
      </c>
      <c r="AI148">
        <v>3754</v>
      </c>
      <c r="AJ148">
        <f t="shared" si="16"/>
        <v>510.87320191795419</v>
      </c>
      <c r="AK148">
        <f t="shared" si="17"/>
        <v>2.041972147729713E-3</v>
      </c>
      <c r="AL148">
        <f t="shared" si="18"/>
        <v>0.2929246432730086</v>
      </c>
      <c r="AQ148">
        <v>0.66281497</v>
      </c>
      <c r="AR148">
        <v>364</v>
      </c>
      <c r="AS148">
        <v>3781</v>
      </c>
      <c r="AT148" s="2">
        <v>146</v>
      </c>
      <c r="AU148">
        <v>3641</v>
      </c>
      <c r="AV148" s="3">
        <v>5.9147829999999998E-2</v>
      </c>
      <c r="AW148">
        <v>3641</v>
      </c>
      <c r="AX148" s="2">
        <v>288</v>
      </c>
      <c r="AY148">
        <v>3744</v>
      </c>
    </row>
    <row r="149" spans="34:51" x14ac:dyDescent="0.25">
      <c r="AH149">
        <v>147</v>
      </c>
      <c r="AI149">
        <v>4051</v>
      </c>
      <c r="AJ149">
        <f t="shared" si="16"/>
        <v>473.41841520612195</v>
      </c>
      <c r="AK149">
        <f t="shared" si="17"/>
        <v>1.8922644884170185E-3</v>
      </c>
      <c r="AL149">
        <f t="shared" si="18"/>
        <v>0.29481690776142561</v>
      </c>
      <c r="AQ149">
        <v>0.33221488999999998</v>
      </c>
      <c r="AR149">
        <v>381</v>
      </c>
      <c r="AS149">
        <v>3728</v>
      </c>
      <c r="AT149" s="2">
        <v>147</v>
      </c>
      <c r="AU149">
        <v>3697</v>
      </c>
      <c r="AV149" s="3">
        <v>0.29470556999999997</v>
      </c>
      <c r="AW149">
        <v>3697</v>
      </c>
      <c r="AX149" s="2">
        <v>50</v>
      </c>
      <c r="AY149">
        <v>3745</v>
      </c>
    </row>
    <row r="150" spans="34:51" x14ac:dyDescent="0.25">
      <c r="AH150">
        <v>148</v>
      </c>
      <c r="AI150">
        <v>3720</v>
      </c>
      <c r="AJ150">
        <f t="shared" si="16"/>
        <v>515.54247311827953</v>
      </c>
      <c r="AK150">
        <f t="shared" si="17"/>
        <v>2.0606353340261669E-3</v>
      </c>
      <c r="AL150">
        <f t="shared" si="18"/>
        <v>0.29687754309545178</v>
      </c>
      <c r="AQ150">
        <v>0.85886620999999996</v>
      </c>
      <c r="AR150">
        <v>326</v>
      </c>
      <c r="AS150">
        <v>3725</v>
      </c>
      <c r="AT150" s="2">
        <v>148</v>
      </c>
      <c r="AU150">
        <v>3925</v>
      </c>
      <c r="AV150" s="3">
        <v>0.64192640999999995</v>
      </c>
      <c r="AW150">
        <v>3925</v>
      </c>
      <c r="AX150" s="2">
        <v>445</v>
      </c>
      <c r="AY150">
        <v>3745</v>
      </c>
    </row>
    <row r="151" spans="34:51" x14ac:dyDescent="0.25">
      <c r="AH151">
        <v>149</v>
      </c>
      <c r="AI151">
        <v>3779</v>
      </c>
      <c r="AJ151">
        <f t="shared" si="16"/>
        <v>507.49351680338714</v>
      </c>
      <c r="AK151">
        <f t="shared" si="17"/>
        <v>2.0284634672075529E-3</v>
      </c>
      <c r="AL151">
        <f t="shared" si="18"/>
        <v>0.29890600656265931</v>
      </c>
      <c r="AQ151">
        <v>0.36185901999999998</v>
      </c>
      <c r="AR151">
        <v>5</v>
      </c>
      <c r="AS151">
        <v>3771</v>
      </c>
      <c r="AT151" s="2">
        <v>149</v>
      </c>
      <c r="AU151">
        <v>3856</v>
      </c>
      <c r="AV151" s="3">
        <v>0.62608176000000004</v>
      </c>
      <c r="AW151">
        <v>3856</v>
      </c>
      <c r="AX151" s="2">
        <v>390</v>
      </c>
      <c r="AY151">
        <v>3746</v>
      </c>
    </row>
    <row r="152" spans="34:51" x14ac:dyDescent="0.25">
      <c r="AH152">
        <v>150</v>
      </c>
      <c r="AI152">
        <v>3910</v>
      </c>
      <c r="AJ152">
        <f t="shared" si="16"/>
        <v>490.49053708439897</v>
      </c>
      <c r="AK152">
        <f t="shared" si="17"/>
        <v>1.9605021592269418E-3</v>
      </c>
      <c r="AL152">
        <f t="shared" si="18"/>
        <v>0.30086650872188625</v>
      </c>
      <c r="AQ152">
        <v>0.54154027000000005</v>
      </c>
      <c r="AR152">
        <v>183</v>
      </c>
      <c r="AS152">
        <v>3700</v>
      </c>
      <c r="AT152" s="2">
        <v>150</v>
      </c>
      <c r="AU152">
        <v>3787</v>
      </c>
      <c r="AV152" s="4">
        <v>3.3662079999999997E-2</v>
      </c>
      <c r="AW152">
        <v>3807</v>
      </c>
      <c r="AX152" s="2">
        <v>465</v>
      </c>
      <c r="AY152">
        <v>3746</v>
      </c>
    </row>
    <row r="153" spans="34:51" x14ac:dyDescent="0.25">
      <c r="AH153">
        <v>151</v>
      </c>
      <c r="AI153">
        <v>3758</v>
      </c>
      <c r="AJ153">
        <f t="shared" si="16"/>
        <v>510.32943054816394</v>
      </c>
      <c r="AK153">
        <f t="shared" si="17"/>
        <v>2.0397986808348436E-3</v>
      </c>
      <c r="AL153">
        <f t="shared" si="18"/>
        <v>0.30290630740272112</v>
      </c>
      <c r="AQ153">
        <v>0.12401754</v>
      </c>
      <c r="AR153">
        <v>427</v>
      </c>
      <c r="AS153">
        <v>3801</v>
      </c>
      <c r="AT153" s="2">
        <v>151</v>
      </c>
      <c r="AU153">
        <v>3782</v>
      </c>
      <c r="AV153" s="3">
        <v>0.33641391999999998</v>
      </c>
      <c r="AW153">
        <v>3782</v>
      </c>
      <c r="AX153" s="2">
        <v>458</v>
      </c>
      <c r="AY153">
        <v>3746</v>
      </c>
    </row>
    <row r="154" spans="34:51" x14ac:dyDescent="0.25">
      <c r="AH154">
        <v>152</v>
      </c>
      <c r="AI154">
        <v>3689</v>
      </c>
      <c r="AJ154">
        <f t="shared" si="16"/>
        <v>519.87476280834915</v>
      </c>
      <c r="AK154">
        <f t="shared" si="17"/>
        <v>2.0779515973373113E-3</v>
      </c>
      <c r="AL154">
        <f t="shared" si="18"/>
        <v>0.30498425900005843</v>
      </c>
      <c r="AQ154">
        <v>0.44952272999999998</v>
      </c>
      <c r="AR154">
        <v>138</v>
      </c>
      <c r="AS154">
        <v>3681</v>
      </c>
      <c r="AT154" s="2">
        <v>152</v>
      </c>
      <c r="AU154">
        <v>3811</v>
      </c>
      <c r="AV154" s="3">
        <v>0.38044882000000002</v>
      </c>
      <c r="AW154">
        <v>3811</v>
      </c>
      <c r="AX154" s="2">
        <v>281</v>
      </c>
      <c r="AY154">
        <v>3746</v>
      </c>
    </row>
    <row r="155" spans="34:51" x14ac:dyDescent="0.25">
      <c r="AH155">
        <v>153</v>
      </c>
      <c r="AI155">
        <v>3931</v>
      </c>
      <c r="AJ155">
        <f t="shared" si="16"/>
        <v>487.8702620198423</v>
      </c>
      <c r="AK155">
        <f t="shared" si="17"/>
        <v>1.9500288584526435E-3</v>
      </c>
      <c r="AL155">
        <f t="shared" si="18"/>
        <v>0.30693428785851107</v>
      </c>
      <c r="AQ155">
        <v>0.94169610999999998</v>
      </c>
      <c r="AR155">
        <v>345</v>
      </c>
      <c r="AS155">
        <v>3690</v>
      </c>
      <c r="AT155" s="2">
        <v>153</v>
      </c>
      <c r="AU155">
        <v>3894</v>
      </c>
      <c r="AV155" s="3">
        <v>0.19457215</v>
      </c>
      <c r="AW155">
        <v>3894</v>
      </c>
      <c r="AX155" s="2">
        <v>115</v>
      </c>
      <c r="AY155">
        <v>3747</v>
      </c>
    </row>
    <row r="156" spans="34:51" x14ac:dyDescent="0.25">
      <c r="AH156">
        <v>154</v>
      </c>
      <c r="AI156">
        <v>3734</v>
      </c>
      <c r="AJ156">
        <f t="shared" si="16"/>
        <v>513.60953401178358</v>
      </c>
      <c r="AK156">
        <f t="shared" si="17"/>
        <v>2.0529093311669367E-3</v>
      </c>
      <c r="AL156">
        <f t="shared" si="18"/>
        <v>0.30898719718967799</v>
      </c>
      <c r="AQ156">
        <v>0.99660908999999998</v>
      </c>
      <c r="AR156">
        <v>427</v>
      </c>
      <c r="AS156">
        <v>3801</v>
      </c>
      <c r="AT156" s="2">
        <v>154</v>
      </c>
      <c r="AU156">
        <v>3844</v>
      </c>
      <c r="AV156" s="3">
        <v>0.85101806999999996</v>
      </c>
      <c r="AW156">
        <v>3844</v>
      </c>
      <c r="AX156" s="2">
        <v>335</v>
      </c>
      <c r="AY156">
        <v>3747</v>
      </c>
    </row>
    <row r="157" spans="34:51" x14ac:dyDescent="0.25">
      <c r="AH157">
        <v>155</v>
      </c>
      <c r="AI157">
        <v>3971</v>
      </c>
      <c r="AJ157">
        <f t="shared" si="16"/>
        <v>482.9559304960967</v>
      </c>
      <c r="AK157">
        <f t="shared" si="17"/>
        <v>1.930386160306558E-3</v>
      </c>
      <c r="AL157">
        <f t="shared" si="18"/>
        <v>0.31091758334998454</v>
      </c>
      <c r="AQ157">
        <v>0.42507082000000002</v>
      </c>
      <c r="AR157">
        <v>107</v>
      </c>
      <c r="AS157">
        <v>3854</v>
      </c>
      <c r="AT157" s="2">
        <v>155</v>
      </c>
      <c r="AU157">
        <v>3791</v>
      </c>
      <c r="AV157" s="3">
        <v>0.77273256000000001</v>
      </c>
      <c r="AW157">
        <v>3791</v>
      </c>
      <c r="AX157" s="2">
        <v>254</v>
      </c>
      <c r="AY157">
        <v>3748</v>
      </c>
    </row>
    <row r="158" spans="34:51" x14ac:dyDescent="0.25">
      <c r="AH158">
        <v>156</v>
      </c>
      <c r="AI158">
        <v>3710</v>
      </c>
      <c r="AJ158">
        <f t="shared" si="16"/>
        <v>516.93207547169811</v>
      </c>
      <c r="AK158">
        <f t="shared" si="17"/>
        <v>2.0661896071637038E-3</v>
      </c>
      <c r="AL158">
        <f t="shared" si="18"/>
        <v>0.31298377295714824</v>
      </c>
      <c r="AQ158">
        <v>0.79758357999999996</v>
      </c>
      <c r="AR158">
        <v>294</v>
      </c>
      <c r="AS158">
        <v>3674</v>
      </c>
      <c r="AT158" s="2">
        <v>156</v>
      </c>
      <c r="AU158">
        <v>3713</v>
      </c>
      <c r="AV158" s="3">
        <v>0.77193235999999998</v>
      </c>
      <c r="AW158">
        <v>3713</v>
      </c>
      <c r="AX158" s="2">
        <v>486</v>
      </c>
      <c r="AY158">
        <v>3748</v>
      </c>
    </row>
    <row r="159" spans="34:51" x14ac:dyDescent="0.25">
      <c r="AH159">
        <v>157</v>
      </c>
      <c r="AI159">
        <v>3734</v>
      </c>
      <c r="AJ159">
        <f t="shared" si="16"/>
        <v>513.60953401178358</v>
      </c>
      <c r="AK159">
        <f t="shared" si="17"/>
        <v>2.0529093311669367E-3</v>
      </c>
      <c r="AL159">
        <f t="shared" si="18"/>
        <v>0.31503668228831516</v>
      </c>
      <c r="AQ159">
        <v>0.39385145999999999</v>
      </c>
      <c r="AR159">
        <v>438</v>
      </c>
      <c r="AS159">
        <v>3731</v>
      </c>
      <c r="AT159" s="2">
        <v>157</v>
      </c>
      <c r="AU159">
        <v>3847</v>
      </c>
      <c r="AV159" s="3">
        <v>0.16880316000000001</v>
      </c>
      <c r="AW159">
        <v>3847</v>
      </c>
      <c r="AX159" s="2">
        <v>151</v>
      </c>
      <c r="AY159">
        <v>3749</v>
      </c>
    </row>
    <row r="160" spans="34:51" x14ac:dyDescent="0.25">
      <c r="AH160">
        <v>158</v>
      </c>
      <c r="AI160">
        <v>3844</v>
      </c>
      <c r="AJ160">
        <f t="shared" si="16"/>
        <v>498.91207075962541</v>
      </c>
      <c r="AK160">
        <f t="shared" si="17"/>
        <v>1.9941632264769359E-3</v>
      </c>
      <c r="AL160">
        <f t="shared" si="18"/>
        <v>0.3170308455147921</v>
      </c>
      <c r="AQ160">
        <v>0.40112935999999999</v>
      </c>
      <c r="AR160">
        <v>332</v>
      </c>
      <c r="AS160">
        <v>3821</v>
      </c>
      <c r="AT160" s="2">
        <v>158</v>
      </c>
      <c r="AU160">
        <v>3805</v>
      </c>
      <c r="AV160" s="3">
        <v>0.73228013999999997</v>
      </c>
      <c r="AW160">
        <v>3805</v>
      </c>
      <c r="AX160" s="2">
        <v>140</v>
      </c>
      <c r="AY160">
        <v>3749</v>
      </c>
    </row>
    <row r="161" spans="34:51" x14ac:dyDescent="0.25">
      <c r="AH161">
        <v>159</v>
      </c>
      <c r="AI161">
        <v>3754</v>
      </c>
      <c r="AJ161">
        <f t="shared" si="16"/>
        <v>510.87320191795419</v>
      </c>
      <c r="AK161">
        <f t="shared" si="17"/>
        <v>2.041972147729713E-3</v>
      </c>
      <c r="AL161">
        <f t="shared" si="18"/>
        <v>0.31907281766252182</v>
      </c>
      <c r="AQ161">
        <v>0.17855102</v>
      </c>
      <c r="AR161">
        <v>74</v>
      </c>
      <c r="AS161">
        <v>3609</v>
      </c>
      <c r="AT161" s="2">
        <v>159</v>
      </c>
      <c r="AU161">
        <v>3813</v>
      </c>
      <c r="AV161" s="3">
        <v>0.96708112999999996</v>
      </c>
      <c r="AW161">
        <v>3813</v>
      </c>
      <c r="AX161" s="2">
        <v>9</v>
      </c>
      <c r="AY161">
        <v>3750</v>
      </c>
    </row>
    <row r="162" spans="34:51" x14ac:dyDescent="0.25">
      <c r="AH162">
        <v>160</v>
      </c>
      <c r="AI162">
        <v>3761</v>
      </c>
      <c r="AJ162">
        <f t="shared" si="16"/>
        <v>509.92236107418239</v>
      </c>
      <c r="AK162">
        <f t="shared" si="17"/>
        <v>2.0381716146177457E-3</v>
      </c>
      <c r="AL162">
        <f t="shared" si="18"/>
        <v>0.32111098927713955</v>
      </c>
      <c r="AQ162">
        <v>0.88601995</v>
      </c>
      <c r="AR162">
        <v>403</v>
      </c>
      <c r="AS162">
        <v>3830</v>
      </c>
      <c r="AT162" s="2">
        <v>160</v>
      </c>
      <c r="AU162">
        <v>3765</v>
      </c>
      <c r="AV162" s="3">
        <v>0.92448235000000001</v>
      </c>
      <c r="AW162">
        <v>3765</v>
      </c>
      <c r="AX162" s="2">
        <v>422</v>
      </c>
      <c r="AY162">
        <v>3750</v>
      </c>
    </row>
    <row r="163" spans="34:51" x14ac:dyDescent="0.25">
      <c r="AH163">
        <v>161</v>
      </c>
      <c r="AI163">
        <v>3801</v>
      </c>
      <c r="AJ163">
        <f t="shared" si="16"/>
        <v>504.55616942909762</v>
      </c>
      <c r="AK163">
        <f t="shared" si="17"/>
        <v>2.016722820988514E-3</v>
      </c>
      <c r="AL163">
        <f t="shared" si="18"/>
        <v>0.32312771209812807</v>
      </c>
      <c r="AQ163">
        <v>0.33191150000000003</v>
      </c>
      <c r="AR163">
        <v>289</v>
      </c>
      <c r="AS163">
        <v>3810</v>
      </c>
      <c r="AT163" s="2">
        <v>161</v>
      </c>
      <c r="AU163">
        <v>3839</v>
      </c>
      <c r="AV163" s="3">
        <v>0.75436610000000004</v>
      </c>
      <c r="AW163">
        <v>3839</v>
      </c>
      <c r="AX163" s="2">
        <v>133</v>
      </c>
      <c r="AY163">
        <v>3750</v>
      </c>
    </row>
    <row r="164" spans="34:51" x14ac:dyDescent="0.25">
      <c r="AH164">
        <v>162</v>
      </c>
      <c r="AI164">
        <v>3818</v>
      </c>
      <c r="AJ164">
        <f t="shared" si="16"/>
        <v>502.30958617077005</v>
      </c>
      <c r="AK164">
        <f t="shared" si="17"/>
        <v>2.0077431751119282E-3</v>
      </c>
      <c r="AL164">
        <f t="shared" si="18"/>
        <v>0.32513545527324</v>
      </c>
      <c r="AQ164">
        <v>0.22684181</v>
      </c>
      <c r="AR164">
        <v>279</v>
      </c>
      <c r="AS164">
        <v>3744</v>
      </c>
      <c r="AT164" s="2">
        <v>162</v>
      </c>
      <c r="AU164">
        <v>3885</v>
      </c>
      <c r="AV164" s="3">
        <v>9.5952629999999997E-2</v>
      </c>
      <c r="AW164">
        <v>3885</v>
      </c>
      <c r="AX164" s="2">
        <v>400</v>
      </c>
      <c r="AY164">
        <v>3751</v>
      </c>
    </row>
    <row r="165" spans="34:51" x14ac:dyDescent="0.25">
      <c r="AH165">
        <v>163</v>
      </c>
      <c r="AI165">
        <v>3863</v>
      </c>
      <c r="AJ165">
        <f t="shared" si="16"/>
        <v>496.45819311416</v>
      </c>
      <c r="AK165">
        <f t="shared" si="17"/>
        <v>1.9843550200821492E-3</v>
      </c>
      <c r="AL165">
        <f t="shared" si="18"/>
        <v>0.32711981029332216</v>
      </c>
      <c r="AQ165">
        <v>3.1735960000000001E-2</v>
      </c>
      <c r="AR165">
        <v>229</v>
      </c>
      <c r="AS165">
        <v>3661</v>
      </c>
      <c r="AT165" s="2">
        <v>163</v>
      </c>
      <c r="AU165">
        <v>3673</v>
      </c>
      <c r="AV165" s="3">
        <v>0.76497965999999995</v>
      </c>
      <c r="AW165">
        <v>3673</v>
      </c>
      <c r="AX165" s="2">
        <v>365</v>
      </c>
      <c r="AY165">
        <v>3752</v>
      </c>
    </row>
    <row r="166" spans="34:51" x14ac:dyDescent="0.25">
      <c r="AH166">
        <v>164</v>
      </c>
      <c r="AI166">
        <v>3893</v>
      </c>
      <c r="AJ166">
        <f t="shared" si="16"/>
        <v>492.63241715900335</v>
      </c>
      <c r="AK166">
        <f t="shared" si="17"/>
        <v>1.9690633040270592E-3</v>
      </c>
      <c r="AL166">
        <f t="shared" si="18"/>
        <v>0.32908887359734923</v>
      </c>
      <c r="AQ166">
        <v>0.58549832999999996</v>
      </c>
      <c r="AR166">
        <v>165</v>
      </c>
      <c r="AS166">
        <v>3660</v>
      </c>
      <c r="AT166" s="2">
        <v>164</v>
      </c>
      <c r="AU166">
        <v>3577</v>
      </c>
      <c r="AV166" s="3">
        <v>0.11403871</v>
      </c>
      <c r="AW166">
        <v>3577</v>
      </c>
      <c r="AX166" s="2">
        <v>196</v>
      </c>
      <c r="AY166">
        <v>3753</v>
      </c>
    </row>
    <row r="167" spans="34:51" x14ac:dyDescent="0.25">
      <c r="AH167">
        <v>165</v>
      </c>
      <c r="AI167">
        <v>3660</v>
      </c>
      <c r="AJ167">
        <f t="shared" si="16"/>
        <v>523.9939890710383</v>
      </c>
      <c r="AK167">
        <f t="shared" si="17"/>
        <v>2.0944162411413504E-3</v>
      </c>
      <c r="AL167">
        <f t="shared" si="18"/>
        <v>0.3311832898384906</v>
      </c>
      <c r="AQ167">
        <v>0.70637673000000001</v>
      </c>
      <c r="AR167">
        <v>171</v>
      </c>
      <c r="AS167">
        <v>3884</v>
      </c>
      <c r="AT167" s="2">
        <v>165</v>
      </c>
      <c r="AU167">
        <v>3880</v>
      </c>
      <c r="AV167" s="3">
        <v>0.68594116000000005</v>
      </c>
      <c r="AW167">
        <v>3880</v>
      </c>
      <c r="AX167" s="2">
        <v>156</v>
      </c>
      <c r="AY167">
        <v>3753</v>
      </c>
    </row>
    <row r="168" spans="34:51" x14ac:dyDescent="0.25">
      <c r="AH168">
        <v>166</v>
      </c>
      <c r="AI168">
        <v>3813</v>
      </c>
      <c r="AJ168">
        <f t="shared" si="16"/>
        <v>502.96826645685809</v>
      </c>
      <c r="AK168">
        <f t="shared" si="17"/>
        <v>2.010375935635285E-3</v>
      </c>
      <c r="AL168">
        <f t="shared" si="18"/>
        <v>0.3331936657741259</v>
      </c>
      <c r="AQ168">
        <v>0.93474495000000002</v>
      </c>
      <c r="AR168">
        <v>278</v>
      </c>
      <c r="AS168">
        <v>3753</v>
      </c>
      <c r="AT168" s="2">
        <v>166</v>
      </c>
      <c r="AU168">
        <v>3845</v>
      </c>
      <c r="AV168" s="3">
        <v>5.0495030000000003E-2</v>
      </c>
      <c r="AW168">
        <v>3845</v>
      </c>
      <c r="AX168" s="2">
        <v>342</v>
      </c>
      <c r="AY168">
        <v>3753</v>
      </c>
    </row>
    <row r="169" spans="34:51" x14ac:dyDescent="0.25">
      <c r="AH169">
        <v>167</v>
      </c>
      <c r="AI169">
        <v>3960</v>
      </c>
      <c r="AJ169">
        <f t="shared" si="16"/>
        <v>484.29747474747472</v>
      </c>
      <c r="AK169">
        <f t="shared" si="17"/>
        <v>1.9357483440851871E-3</v>
      </c>
      <c r="AL169">
        <f t="shared" si="18"/>
        <v>0.33512941411821107</v>
      </c>
      <c r="AQ169">
        <v>0.66413003000000004</v>
      </c>
      <c r="AR169">
        <v>496</v>
      </c>
      <c r="AS169">
        <v>3775</v>
      </c>
      <c r="AT169" s="2">
        <v>167</v>
      </c>
      <c r="AU169">
        <v>3835</v>
      </c>
      <c r="AV169" s="3">
        <v>0.90354973000000005</v>
      </c>
      <c r="AW169">
        <v>3835</v>
      </c>
      <c r="AX169" s="2">
        <v>255</v>
      </c>
      <c r="AY169">
        <v>3753</v>
      </c>
    </row>
    <row r="170" spans="34:51" x14ac:dyDescent="0.25">
      <c r="AH170">
        <v>168</v>
      </c>
      <c r="AI170">
        <v>3835</v>
      </c>
      <c r="AJ170">
        <f t="shared" si="16"/>
        <v>500.08292046936117</v>
      </c>
      <c r="AK170">
        <f t="shared" si="17"/>
        <v>1.9988431401766213E-3</v>
      </c>
      <c r="AL170">
        <f t="shared" si="18"/>
        <v>0.33712825725838769</v>
      </c>
      <c r="AQ170">
        <v>0.67000556</v>
      </c>
      <c r="AR170">
        <v>250</v>
      </c>
      <c r="AS170">
        <v>3788</v>
      </c>
      <c r="AT170" s="2">
        <v>168</v>
      </c>
      <c r="AU170">
        <v>3605</v>
      </c>
      <c r="AV170" s="3">
        <v>0.94173669999999998</v>
      </c>
      <c r="AW170">
        <v>3605</v>
      </c>
      <c r="AX170" s="2">
        <v>352</v>
      </c>
      <c r="AY170">
        <v>3755</v>
      </c>
    </row>
    <row r="171" spans="34:51" x14ac:dyDescent="0.25">
      <c r="AH171">
        <v>169</v>
      </c>
      <c r="AI171">
        <v>3820</v>
      </c>
      <c r="AJ171">
        <f t="shared" si="16"/>
        <v>502.04659685863874</v>
      </c>
      <c r="AK171">
        <f t="shared" si="17"/>
        <v>2.0066920006746969E-3</v>
      </c>
      <c r="AL171">
        <f t="shared" si="18"/>
        <v>0.3391349492590624</v>
      </c>
      <c r="AQ171">
        <v>0.75778668999999999</v>
      </c>
      <c r="AR171">
        <v>470</v>
      </c>
      <c r="AS171">
        <v>3655</v>
      </c>
      <c r="AT171" s="2">
        <v>169</v>
      </c>
      <c r="AU171">
        <v>3730</v>
      </c>
      <c r="AV171" s="3">
        <v>0.72262256999999996</v>
      </c>
      <c r="AW171">
        <v>3730</v>
      </c>
      <c r="AX171" s="2">
        <v>485</v>
      </c>
      <c r="AY171">
        <v>3756</v>
      </c>
    </row>
    <row r="172" spans="34:51" x14ac:dyDescent="0.25">
      <c r="AH172">
        <v>170</v>
      </c>
      <c r="AI172">
        <v>3833</v>
      </c>
      <c r="AJ172">
        <f t="shared" si="16"/>
        <v>500.34385598747718</v>
      </c>
      <c r="AK172">
        <f t="shared" si="17"/>
        <v>1.9998861055510937E-3</v>
      </c>
      <c r="AL172">
        <f t="shared" si="18"/>
        <v>0.34113483536461348</v>
      </c>
      <c r="AQ172">
        <v>0.11572014999999999</v>
      </c>
      <c r="AR172">
        <v>264</v>
      </c>
      <c r="AS172">
        <v>3753</v>
      </c>
      <c r="AT172" s="2">
        <v>170</v>
      </c>
      <c r="AU172">
        <v>3868</v>
      </c>
      <c r="AV172" s="3">
        <v>0.63112462000000003</v>
      </c>
      <c r="AW172">
        <v>3868</v>
      </c>
      <c r="AX172" s="2">
        <v>305</v>
      </c>
      <c r="AY172">
        <v>3756</v>
      </c>
    </row>
    <row r="173" spans="34:51" x14ac:dyDescent="0.25">
      <c r="AH173">
        <v>171</v>
      </c>
      <c r="AI173">
        <v>3884</v>
      </c>
      <c r="AJ173">
        <f t="shared" si="16"/>
        <v>493.77394438722968</v>
      </c>
      <c r="AK173">
        <f t="shared" si="17"/>
        <v>1.973626015081705E-3</v>
      </c>
      <c r="AL173">
        <f t="shared" si="18"/>
        <v>0.3431084613796952</v>
      </c>
      <c r="AQ173">
        <v>0.3655892</v>
      </c>
      <c r="AR173">
        <v>365</v>
      </c>
      <c r="AS173">
        <v>3926</v>
      </c>
      <c r="AT173" s="2">
        <v>171</v>
      </c>
      <c r="AU173">
        <v>3743</v>
      </c>
      <c r="AV173" s="3">
        <v>0.33963947999999999</v>
      </c>
      <c r="AW173">
        <v>3743</v>
      </c>
      <c r="AX173" s="2">
        <v>479</v>
      </c>
      <c r="AY173">
        <v>3756</v>
      </c>
    </row>
    <row r="174" spans="34:51" x14ac:dyDescent="0.25">
      <c r="AH174">
        <v>172</v>
      </c>
      <c r="AI174">
        <v>3753</v>
      </c>
      <c r="AJ174">
        <f t="shared" si="16"/>
        <v>511.0093258726352</v>
      </c>
      <c r="AK174">
        <f t="shared" si="17"/>
        <v>2.0425162383632669E-3</v>
      </c>
      <c r="AL174">
        <f t="shared" si="18"/>
        <v>0.34515097761805846</v>
      </c>
      <c r="AQ174">
        <v>8.2473749999999998E-2</v>
      </c>
      <c r="AR174">
        <v>221</v>
      </c>
      <c r="AS174">
        <v>3661</v>
      </c>
      <c r="AT174" s="2">
        <v>172</v>
      </c>
      <c r="AU174">
        <v>3821</v>
      </c>
      <c r="AV174" s="3">
        <v>0.34953189000000001</v>
      </c>
      <c r="AW174">
        <v>3821</v>
      </c>
      <c r="AX174" s="2">
        <v>166</v>
      </c>
      <c r="AY174">
        <v>3757</v>
      </c>
    </row>
    <row r="175" spans="34:51" x14ac:dyDescent="0.25">
      <c r="AH175">
        <v>173</v>
      </c>
      <c r="AI175">
        <v>3945</v>
      </c>
      <c r="AJ175">
        <f t="shared" si="16"/>
        <v>486.13891001267427</v>
      </c>
      <c r="AK175">
        <f t="shared" si="17"/>
        <v>1.943108603948629E-3</v>
      </c>
      <c r="AL175">
        <f t="shared" si="18"/>
        <v>0.3470940862220071</v>
      </c>
      <c r="AQ175">
        <v>0.21984500000000001</v>
      </c>
      <c r="AR175">
        <v>73</v>
      </c>
      <c r="AS175">
        <v>3738</v>
      </c>
      <c r="AT175" s="2">
        <v>173</v>
      </c>
      <c r="AU175">
        <v>3746</v>
      </c>
      <c r="AV175" s="3">
        <v>0.60104363999999999</v>
      </c>
      <c r="AW175">
        <v>3746</v>
      </c>
      <c r="AX175" s="2">
        <v>366</v>
      </c>
      <c r="AY175">
        <v>3757</v>
      </c>
    </row>
    <row r="176" spans="34:51" x14ac:dyDescent="0.25">
      <c r="AH176">
        <v>174</v>
      </c>
      <c r="AI176">
        <v>4109</v>
      </c>
      <c r="AJ176">
        <f t="shared" si="16"/>
        <v>466.73594548551961</v>
      </c>
      <c r="AK176">
        <f t="shared" si="17"/>
        <v>1.865554500505559E-3</v>
      </c>
      <c r="AL176">
        <f t="shared" si="18"/>
        <v>0.34895964072251268</v>
      </c>
      <c r="AQ176">
        <v>0.88115655999999998</v>
      </c>
      <c r="AR176">
        <v>378</v>
      </c>
      <c r="AS176">
        <v>3698</v>
      </c>
      <c r="AT176" s="2">
        <v>174</v>
      </c>
      <c r="AU176">
        <v>3850</v>
      </c>
      <c r="AV176" s="3">
        <v>0.94044148999999999</v>
      </c>
      <c r="AW176">
        <v>3850</v>
      </c>
      <c r="AX176" s="2">
        <v>71</v>
      </c>
      <c r="AY176">
        <v>3757</v>
      </c>
    </row>
    <row r="177" spans="34:51" x14ac:dyDescent="0.25">
      <c r="AH177">
        <v>175</v>
      </c>
      <c r="AI177">
        <v>3844</v>
      </c>
      <c r="AJ177">
        <f t="shared" si="16"/>
        <v>498.91207075962541</v>
      </c>
      <c r="AK177">
        <f t="shared" si="17"/>
        <v>1.9941632264769359E-3</v>
      </c>
      <c r="AL177">
        <f t="shared" si="18"/>
        <v>0.35095380394898962</v>
      </c>
      <c r="AQ177">
        <v>0.86444597999999995</v>
      </c>
      <c r="AR177">
        <v>350</v>
      </c>
      <c r="AS177">
        <v>3712</v>
      </c>
      <c r="AT177" s="2">
        <v>175</v>
      </c>
      <c r="AU177">
        <v>3658</v>
      </c>
      <c r="AV177" s="3">
        <v>0.82794862999999996</v>
      </c>
      <c r="AW177">
        <v>3658</v>
      </c>
      <c r="AX177" s="2">
        <v>65</v>
      </c>
      <c r="AY177">
        <v>3758</v>
      </c>
    </row>
    <row r="178" spans="34:51" x14ac:dyDescent="0.25">
      <c r="AH178">
        <v>176</v>
      </c>
      <c r="AI178">
        <v>3909</v>
      </c>
      <c r="AJ178">
        <f t="shared" si="16"/>
        <v>490.61601432591453</v>
      </c>
      <c r="AK178">
        <f t="shared" si="17"/>
        <v>1.9610036946987315E-3</v>
      </c>
      <c r="AL178">
        <f t="shared" si="18"/>
        <v>0.35291480764368832</v>
      </c>
      <c r="AQ178">
        <v>0.45040535999999998</v>
      </c>
      <c r="AR178">
        <v>61</v>
      </c>
      <c r="AS178">
        <v>3717</v>
      </c>
      <c r="AT178" s="2">
        <v>176</v>
      </c>
      <c r="AU178">
        <v>3707</v>
      </c>
      <c r="AV178" s="3">
        <v>0.88582516</v>
      </c>
      <c r="AW178">
        <v>3707</v>
      </c>
      <c r="AX178" s="2">
        <v>160</v>
      </c>
      <c r="AY178">
        <v>3758</v>
      </c>
    </row>
    <row r="179" spans="34:51" x14ac:dyDescent="0.25">
      <c r="AH179">
        <v>177</v>
      </c>
      <c r="AI179">
        <v>3903</v>
      </c>
      <c r="AJ179">
        <f t="shared" si="16"/>
        <v>491.37022802972075</v>
      </c>
      <c r="AK179">
        <f t="shared" si="17"/>
        <v>1.964018304529168E-3</v>
      </c>
      <c r="AL179">
        <f t="shared" si="18"/>
        <v>0.35487882594821751</v>
      </c>
      <c r="AQ179">
        <v>0.77254431999999995</v>
      </c>
      <c r="AR179">
        <v>335</v>
      </c>
      <c r="AS179">
        <v>3793</v>
      </c>
      <c r="AT179" s="2">
        <v>177</v>
      </c>
      <c r="AU179">
        <v>3867</v>
      </c>
      <c r="AV179" s="3">
        <v>0.23850173</v>
      </c>
      <c r="AW179">
        <v>3867</v>
      </c>
      <c r="AX179" s="2">
        <v>167</v>
      </c>
      <c r="AY179">
        <v>3758</v>
      </c>
    </row>
    <row r="180" spans="34:51" x14ac:dyDescent="0.25">
      <c r="AH180">
        <v>178</v>
      </c>
      <c r="AI180">
        <v>3690</v>
      </c>
      <c r="AJ180">
        <f t="shared" si="16"/>
        <v>519.73387533875336</v>
      </c>
      <c r="AK180">
        <f t="shared" si="17"/>
        <v>2.0773884668231278E-3</v>
      </c>
      <c r="AL180">
        <f t="shared" si="18"/>
        <v>0.35695621441504066</v>
      </c>
      <c r="AQ180">
        <v>0.50357616000000005</v>
      </c>
      <c r="AR180">
        <v>19</v>
      </c>
      <c r="AS180">
        <v>3805</v>
      </c>
      <c r="AT180" s="2">
        <v>178</v>
      </c>
      <c r="AU180">
        <v>3828</v>
      </c>
      <c r="AV180" s="3">
        <v>0.53905356000000004</v>
      </c>
      <c r="AW180">
        <v>3828</v>
      </c>
      <c r="AX180" s="2">
        <v>157</v>
      </c>
      <c r="AY180">
        <v>3759</v>
      </c>
    </row>
    <row r="181" spans="34:51" x14ac:dyDescent="0.25">
      <c r="AH181">
        <v>179</v>
      </c>
      <c r="AI181">
        <v>3777</v>
      </c>
      <c r="AJ181">
        <f t="shared" si="16"/>
        <v>507.76224516812283</v>
      </c>
      <c r="AK181">
        <f t="shared" si="17"/>
        <v>2.0295375807723964E-3</v>
      </c>
      <c r="AL181">
        <f t="shared" si="18"/>
        <v>0.35898575199581306</v>
      </c>
      <c r="AQ181">
        <v>0.40563445999999997</v>
      </c>
      <c r="AR181">
        <v>218</v>
      </c>
      <c r="AS181">
        <v>3916</v>
      </c>
      <c r="AT181" s="2">
        <v>179</v>
      </c>
      <c r="AU181">
        <v>3734</v>
      </c>
      <c r="AV181" s="3">
        <v>0.74915343999999995</v>
      </c>
      <c r="AW181">
        <v>3734</v>
      </c>
      <c r="AX181" s="2">
        <v>435</v>
      </c>
      <c r="AY181">
        <v>3760</v>
      </c>
    </row>
    <row r="182" spans="34:51" x14ac:dyDescent="0.25">
      <c r="AH182">
        <v>180</v>
      </c>
      <c r="AI182">
        <v>3921</v>
      </c>
      <c r="AJ182">
        <f t="shared" si="16"/>
        <v>489.11451160418261</v>
      </c>
      <c r="AK182">
        <f t="shared" si="17"/>
        <v>1.9550021531694315E-3</v>
      </c>
      <c r="AL182">
        <f t="shared" si="18"/>
        <v>0.36094075414898247</v>
      </c>
      <c r="AQ182">
        <v>0.85149812999999996</v>
      </c>
      <c r="AR182">
        <v>216</v>
      </c>
      <c r="AS182">
        <v>3748</v>
      </c>
      <c r="AT182" s="2">
        <v>180</v>
      </c>
      <c r="AU182">
        <v>3783</v>
      </c>
      <c r="AV182" s="3">
        <v>0.22108769</v>
      </c>
      <c r="AW182">
        <v>3783</v>
      </c>
      <c r="AX182" s="2">
        <v>436</v>
      </c>
      <c r="AY182">
        <v>3760</v>
      </c>
    </row>
    <row r="183" spans="34:51" x14ac:dyDescent="0.25">
      <c r="AH183">
        <v>181</v>
      </c>
      <c r="AI183">
        <v>3892</v>
      </c>
      <c r="AJ183">
        <f t="shared" si="16"/>
        <v>492.75899280575538</v>
      </c>
      <c r="AK183">
        <f t="shared" si="17"/>
        <v>1.9695692298502933E-3</v>
      </c>
      <c r="AL183">
        <f t="shared" si="18"/>
        <v>0.36291032337883278</v>
      </c>
      <c r="AQ183">
        <v>0.74529140999999999</v>
      </c>
      <c r="AR183">
        <v>71</v>
      </c>
      <c r="AS183">
        <v>3736</v>
      </c>
      <c r="AT183" s="2">
        <v>181</v>
      </c>
      <c r="AU183">
        <v>3719</v>
      </c>
      <c r="AV183" s="3">
        <v>0.18608326</v>
      </c>
      <c r="AW183">
        <v>3719</v>
      </c>
      <c r="AX183" s="2">
        <v>210</v>
      </c>
      <c r="AY183">
        <v>3761</v>
      </c>
    </row>
    <row r="184" spans="34:51" x14ac:dyDescent="0.25">
      <c r="AH184">
        <v>182</v>
      </c>
      <c r="AI184">
        <v>3789</v>
      </c>
      <c r="AJ184">
        <f t="shared" si="16"/>
        <v>506.15413037740831</v>
      </c>
      <c r="AK184">
        <f t="shared" si="17"/>
        <v>2.0231099083075593E-3</v>
      </c>
      <c r="AL184">
        <f t="shared" si="18"/>
        <v>0.36493343328714034</v>
      </c>
      <c r="AQ184">
        <v>0.30725872999999998</v>
      </c>
      <c r="AR184">
        <v>476</v>
      </c>
      <c r="AS184">
        <v>3823</v>
      </c>
      <c r="AT184" s="2">
        <v>182</v>
      </c>
      <c r="AU184">
        <v>3797</v>
      </c>
      <c r="AV184" s="3">
        <v>8.6201550000000002E-2</v>
      </c>
      <c r="AW184">
        <v>3797</v>
      </c>
      <c r="AX184" s="2">
        <v>127</v>
      </c>
      <c r="AY184">
        <v>3761</v>
      </c>
    </row>
    <row r="185" spans="34:51" x14ac:dyDescent="0.25">
      <c r="AH185">
        <v>183</v>
      </c>
      <c r="AI185">
        <v>3700</v>
      </c>
      <c r="AJ185">
        <f t="shared" si="16"/>
        <v>518.32918918918915</v>
      </c>
      <c r="AK185">
        <f t="shared" si="17"/>
        <v>2.0717739033992814E-3</v>
      </c>
      <c r="AL185">
        <f t="shared" si="18"/>
        <v>0.36700520719053964</v>
      </c>
      <c r="AQ185">
        <v>7.8815280000000001E-2</v>
      </c>
      <c r="AR185">
        <v>133</v>
      </c>
      <c r="AS185">
        <v>3739</v>
      </c>
      <c r="AT185" s="2">
        <v>183</v>
      </c>
      <c r="AU185">
        <v>3884</v>
      </c>
      <c r="AV185" s="3">
        <v>0.18803173000000001</v>
      </c>
      <c r="AW185">
        <v>3884</v>
      </c>
      <c r="AX185" s="2">
        <v>267</v>
      </c>
      <c r="AY185">
        <v>3762</v>
      </c>
    </row>
    <row r="186" spans="34:51" x14ac:dyDescent="0.25">
      <c r="AH186">
        <v>184</v>
      </c>
      <c r="AI186">
        <v>3868</v>
      </c>
      <c r="AJ186">
        <f t="shared" si="16"/>
        <v>495.81644260599791</v>
      </c>
      <c r="AK186">
        <f t="shared" si="17"/>
        <v>1.9817899282774925E-3</v>
      </c>
      <c r="AL186">
        <f t="shared" si="18"/>
        <v>0.36898699711881711</v>
      </c>
      <c r="AQ186">
        <v>0.82927012</v>
      </c>
      <c r="AR186">
        <v>137</v>
      </c>
      <c r="AS186">
        <v>3886</v>
      </c>
      <c r="AT186" s="2">
        <v>184</v>
      </c>
      <c r="AU186">
        <v>4140</v>
      </c>
      <c r="AV186" s="3">
        <v>0.91348600000000002</v>
      </c>
      <c r="AW186">
        <v>4140</v>
      </c>
      <c r="AX186" s="2">
        <v>252</v>
      </c>
      <c r="AY186">
        <v>3763</v>
      </c>
    </row>
    <row r="187" spans="34:51" x14ac:dyDescent="0.25">
      <c r="AH187">
        <v>185</v>
      </c>
      <c r="AI187">
        <v>3841</v>
      </c>
      <c r="AJ187">
        <f t="shared" si="16"/>
        <v>499.30174433741212</v>
      </c>
      <c r="AK187">
        <f t="shared" si="17"/>
        <v>1.9957207608897009E-3</v>
      </c>
      <c r="AL187">
        <f t="shared" si="18"/>
        <v>0.37098271787970682</v>
      </c>
      <c r="AQ187">
        <v>7.0032059999999993E-2</v>
      </c>
      <c r="AR187">
        <v>187</v>
      </c>
      <c r="AS187">
        <v>3911</v>
      </c>
      <c r="AT187" s="2">
        <v>185</v>
      </c>
      <c r="AU187">
        <v>3820</v>
      </c>
      <c r="AV187" s="3">
        <v>0.33178871999999998</v>
      </c>
      <c r="AW187">
        <v>3820</v>
      </c>
      <c r="AX187" s="2">
        <v>105</v>
      </c>
      <c r="AY187">
        <v>3763</v>
      </c>
    </row>
    <row r="188" spans="34:51" x14ac:dyDescent="0.25">
      <c r="AH188">
        <v>186</v>
      </c>
      <c r="AI188">
        <v>3949</v>
      </c>
      <c r="AJ188">
        <f t="shared" si="16"/>
        <v>485.64649278298305</v>
      </c>
      <c r="AK188">
        <f t="shared" si="17"/>
        <v>1.9411404007539483E-3</v>
      </c>
      <c r="AL188">
        <f t="shared" si="18"/>
        <v>0.37292385828046076</v>
      </c>
      <c r="AQ188">
        <v>0.80886685999999997</v>
      </c>
      <c r="AR188">
        <v>435</v>
      </c>
      <c r="AS188">
        <v>3680</v>
      </c>
      <c r="AT188" s="2">
        <v>186</v>
      </c>
      <c r="AU188">
        <v>3749</v>
      </c>
      <c r="AV188" s="3">
        <v>0.23038399000000001</v>
      </c>
      <c r="AW188">
        <v>3749</v>
      </c>
      <c r="AX188" s="2">
        <v>397</v>
      </c>
      <c r="AY188">
        <v>3764</v>
      </c>
    </row>
    <row r="189" spans="34:51" x14ac:dyDescent="0.25">
      <c r="AH189">
        <v>187</v>
      </c>
      <c r="AI189">
        <v>3911</v>
      </c>
      <c r="AJ189">
        <f t="shared" si="16"/>
        <v>490.36512400920481</v>
      </c>
      <c r="AK189">
        <f t="shared" si="17"/>
        <v>1.9600008802294405E-3</v>
      </c>
      <c r="AL189">
        <f t="shared" si="18"/>
        <v>0.37488385916069022</v>
      </c>
      <c r="AQ189">
        <v>0.39650065000000001</v>
      </c>
      <c r="AR189">
        <v>263</v>
      </c>
      <c r="AS189">
        <v>3820</v>
      </c>
      <c r="AT189" s="2">
        <v>187</v>
      </c>
      <c r="AU189">
        <v>3814</v>
      </c>
      <c r="AV189" s="3">
        <v>0.26158791999999997</v>
      </c>
      <c r="AW189">
        <v>3814</v>
      </c>
      <c r="AX189" s="2">
        <v>124</v>
      </c>
      <c r="AY189">
        <v>3764</v>
      </c>
    </row>
    <row r="190" spans="34:51" x14ac:dyDescent="0.25">
      <c r="AH190">
        <v>188</v>
      </c>
      <c r="AI190">
        <v>3978</v>
      </c>
      <c r="AJ190">
        <f t="shared" si="16"/>
        <v>482.10608345902466</v>
      </c>
      <c r="AK190">
        <f t="shared" si="17"/>
        <v>1.9269893018042589E-3</v>
      </c>
      <c r="AL190">
        <f t="shared" si="18"/>
        <v>0.37681084846249446</v>
      </c>
      <c r="AQ190">
        <v>0.65868473000000005</v>
      </c>
      <c r="AR190">
        <v>169</v>
      </c>
      <c r="AS190">
        <v>3820</v>
      </c>
      <c r="AT190" s="2">
        <v>188</v>
      </c>
      <c r="AU190">
        <v>3836</v>
      </c>
      <c r="AV190" s="3">
        <v>0.42450690000000002</v>
      </c>
      <c r="AW190">
        <v>3836</v>
      </c>
      <c r="AX190" s="2">
        <v>367</v>
      </c>
      <c r="AY190">
        <v>3764</v>
      </c>
    </row>
    <row r="191" spans="34:51" x14ac:dyDescent="0.25">
      <c r="AH191">
        <v>189</v>
      </c>
      <c r="AI191">
        <v>3775</v>
      </c>
      <c r="AJ191">
        <f t="shared" si="16"/>
        <v>508.03125827814569</v>
      </c>
      <c r="AK191">
        <f t="shared" si="17"/>
        <v>2.0306128324708191E-3</v>
      </c>
      <c r="AL191">
        <f t="shared" si="18"/>
        <v>0.37884146129496526</v>
      </c>
      <c r="AQ191">
        <v>0.48437613000000002</v>
      </c>
      <c r="AR191">
        <v>274</v>
      </c>
      <c r="AS191">
        <v>3784</v>
      </c>
      <c r="AT191" s="2">
        <v>189</v>
      </c>
      <c r="AU191">
        <v>3814</v>
      </c>
      <c r="AV191" s="3">
        <v>0.85365765999999998</v>
      </c>
      <c r="AW191">
        <v>3814</v>
      </c>
      <c r="AX191" s="2">
        <v>253</v>
      </c>
      <c r="AY191">
        <v>3764</v>
      </c>
    </row>
    <row r="192" spans="34:51" x14ac:dyDescent="0.25">
      <c r="AH192">
        <v>190</v>
      </c>
      <c r="AI192">
        <v>3911</v>
      </c>
      <c r="AJ192">
        <f t="shared" si="16"/>
        <v>490.36512400920481</v>
      </c>
      <c r="AK192">
        <f t="shared" si="17"/>
        <v>1.9600008802294405E-3</v>
      </c>
      <c r="AL192">
        <f t="shared" si="18"/>
        <v>0.38080146217519473</v>
      </c>
      <c r="AQ192">
        <v>0.10807097</v>
      </c>
      <c r="AR192">
        <v>56</v>
      </c>
      <c r="AS192">
        <v>3843</v>
      </c>
      <c r="AT192" s="2">
        <v>190</v>
      </c>
      <c r="AU192">
        <v>3892</v>
      </c>
      <c r="AV192" s="3">
        <v>0.74998224000000002</v>
      </c>
      <c r="AW192">
        <v>3892</v>
      </c>
      <c r="AX192" s="2">
        <v>427</v>
      </c>
      <c r="AY192">
        <v>3765</v>
      </c>
    </row>
    <row r="193" spans="34:51" x14ac:dyDescent="0.25">
      <c r="AH193">
        <v>191</v>
      </c>
      <c r="AI193">
        <v>3809</v>
      </c>
      <c r="AJ193">
        <f t="shared" si="16"/>
        <v>503.49645576266738</v>
      </c>
      <c r="AK193">
        <f t="shared" si="17"/>
        <v>2.0124871206556425E-3</v>
      </c>
      <c r="AL193">
        <f t="shared" si="18"/>
        <v>0.38281394929585039</v>
      </c>
      <c r="AQ193">
        <v>0.12217933</v>
      </c>
      <c r="AR193">
        <v>345</v>
      </c>
      <c r="AS193">
        <v>3690</v>
      </c>
      <c r="AT193" s="2">
        <v>191</v>
      </c>
      <c r="AU193">
        <v>3855</v>
      </c>
      <c r="AV193" s="3">
        <v>0.69717795000000005</v>
      </c>
      <c r="AW193">
        <v>3855</v>
      </c>
      <c r="AX193" s="2">
        <v>377</v>
      </c>
      <c r="AY193">
        <v>3765</v>
      </c>
    </row>
    <row r="194" spans="34:51" x14ac:dyDescent="0.25">
      <c r="AH194">
        <v>192</v>
      </c>
      <c r="AI194">
        <v>3920</v>
      </c>
      <c r="AJ194">
        <f t="shared" si="16"/>
        <v>489.2392857142857</v>
      </c>
      <c r="AK194">
        <f t="shared" si="17"/>
        <v>1.9555008782085057E-3</v>
      </c>
      <c r="AL194">
        <f t="shared" si="18"/>
        <v>0.38476945017405889</v>
      </c>
      <c r="AQ194">
        <v>0.86177563999999995</v>
      </c>
      <c r="AR194">
        <v>475</v>
      </c>
      <c r="AS194">
        <v>3735</v>
      </c>
      <c r="AT194" s="2">
        <v>192</v>
      </c>
      <c r="AU194">
        <v>3568</v>
      </c>
      <c r="AV194" s="3">
        <v>0.38458251999999998</v>
      </c>
      <c r="AW194">
        <v>3568</v>
      </c>
      <c r="AX194" s="2">
        <v>440</v>
      </c>
      <c r="AY194">
        <v>3767</v>
      </c>
    </row>
    <row r="195" spans="34:51" x14ac:dyDescent="0.25">
      <c r="AH195">
        <v>193</v>
      </c>
      <c r="AI195">
        <v>3830</v>
      </c>
      <c r="AJ195">
        <f t="shared" si="16"/>
        <v>500.73577023498694</v>
      </c>
      <c r="AK195">
        <f t="shared" si="17"/>
        <v>2.0014525959731961E-3</v>
      </c>
      <c r="AL195">
        <f t="shared" si="18"/>
        <v>0.38677090277003207</v>
      </c>
      <c r="AQ195">
        <v>0.98472254999999997</v>
      </c>
      <c r="AR195">
        <v>99</v>
      </c>
      <c r="AS195">
        <v>3744</v>
      </c>
      <c r="AT195" s="2">
        <v>193</v>
      </c>
      <c r="AU195">
        <v>3710</v>
      </c>
      <c r="AV195" s="3">
        <v>0.42289369999999998</v>
      </c>
      <c r="AW195">
        <v>3710</v>
      </c>
      <c r="AX195" s="2">
        <v>199</v>
      </c>
      <c r="AY195">
        <v>3767</v>
      </c>
    </row>
    <row r="196" spans="34:51" x14ac:dyDescent="0.25">
      <c r="AH196">
        <v>194</v>
      </c>
      <c r="AI196">
        <v>3617</v>
      </c>
      <c r="AJ196">
        <f t="shared" ref="AJ196:AJ259" si="19">$AI$504/AI196</f>
        <v>530.22338954935026</v>
      </c>
      <c r="AK196">
        <f t="shared" ref="AK196:AK259" si="20">AJ196/$AJ$504</f>
        <v>2.1193153006849159E-3</v>
      </c>
      <c r="AL196">
        <f t="shared" ref="AL196:AL259" si="21">AK196+AL195</f>
        <v>0.388890218070717</v>
      </c>
      <c r="AQ196">
        <v>0.52817428</v>
      </c>
      <c r="AR196">
        <v>76</v>
      </c>
      <c r="AS196">
        <v>3813</v>
      </c>
      <c r="AT196" s="2">
        <v>194</v>
      </c>
      <c r="AU196">
        <v>3706</v>
      </c>
      <c r="AV196" s="3">
        <v>0.94388545000000001</v>
      </c>
      <c r="AW196">
        <v>3706</v>
      </c>
      <c r="AX196" s="2">
        <v>214</v>
      </c>
      <c r="AY196">
        <v>3767</v>
      </c>
    </row>
    <row r="197" spans="34:51" x14ac:dyDescent="0.25">
      <c r="AH197">
        <v>195</v>
      </c>
      <c r="AI197">
        <v>3750</v>
      </c>
      <c r="AJ197">
        <f t="shared" si="19"/>
        <v>511.41813333333334</v>
      </c>
      <c r="AK197">
        <f t="shared" si="20"/>
        <v>2.0441502513539578E-3</v>
      </c>
      <c r="AL197">
        <f t="shared" si="21"/>
        <v>0.39093436832207096</v>
      </c>
      <c r="AQ197">
        <v>0.34844165999999999</v>
      </c>
      <c r="AR197">
        <v>438</v>
      </c>
      <c r="AS197">
        <v>3731</v>
      </c>
      <c r="AT197" s="2">
        <v>195</v>
      </c>
      <c r="AU197">
        <v>3810</v>
      </c>
      <c r="AV197" s="3">
        <v>0.66063433999999999</v>
      </c>
      <c r="AW197">
        <v>3810</v>
      </c>
      <c r="AX197" s="2">
        <v>484</v>
      </c>
      <c r="AY197">
        <v>3768</v>
      </c>
    </row>
    <row r="198" spans="34:51" x14ac:dyDescent="0.25">
      <c r="AH198">
        <v>196</v>
      </c>
      <c r="AI198">
        <v>3841</v>
      </c>
      <c r="AJ198">
        <f t="shared" si="19"/>
        <v>499.30174433741212</v>
      </c>
      <c r="AK198">
        <f t="shared" si="20"/>
        <v>1.9957207608897009E-3</v>
      </c>
      <c r="AL198">
        <f t="shared" si="21"/>
        <v>0.39293008908296068</v>
      </c>
      <c r="AQ198">
        <v>0.97327185000000005</v>
      </c>
      <c r="AR198">
        <v>77</v>
      </c>
      <c r="AS198">
        <v>3830</v>
      </c>
      <c r="AT198" s="2">
        <v>196</v>
      </c>
      <c r="AU198">
        <v>3838</v>
      </c>
      <c r="AV198" s="3">
        <v>0.1087153</v>
      </c>
      <c r="AW198">
        <v>3838</v>
      </c>
      <c r="AX198" s="2">
        <v>287</v>
      </c>
      <c r="AY198">
        <v>3768</v>
      </c>
    </row>
    <row r="199" spans="34:51" x14ac:dyDescent="0.25">
      <c r="AH199">
        <v>197</v>
      </c>
      <c r="AI199">
        <v>3773</v>
      </c>
      <c r="AJ199">
        <f t="shared" si="19"/>
        <v>508.30055658627089</v>
      </c>
      <c r="AK199">
        <f t="shared" si="20"/>
        <v>2.0316892241127329E-3</v>
      </c>
      <c r="AL199">
        <f t="shared" si="21"/>
        <v>0.39496177830707341</v>
      </c>
      <c r="AQ199">
        <v>0.52938432000000002</v>
      </c>
      <c r="AR199">
        <v>410</v>
      </c>
      <c r="AS199">
        <v>3781</v>
      </c>
      <c r="AT199" s="2">
        <v>197</v>
      </c>
      <c r="AU199">
        <v>3810</v>
      </c>
      <c r="AV199" s="3">
        <v>0.65698951000000005</v>
      </c>
      <c r="AW199">
        <v>3810</v>
      </c>
      <c r="AX199" s="2">
        <v>290</v>
      </c>
      <c r="AY199">
        <v>3768</v>
      </c>
    </row>
    <row r="200" spans="34:51" x14ac:dyDescent="0.25">
      <c r="AH200">
        <v>198</v>
      </c>
      <c r="AI200">
        <v>3740</v>
      </c>
      <c r="AJ200">
        <f t="shared" si="19"/>
        <v>512.78556149732617</v>
      </c>
      <c r="AK200">
        <f t="shared" si="20"/>
        <v>2.0496158937372568E-3</v>
      </c>
      <c r="AL200">
        <f t="shared" si="21"/>
        <v>0.39701139420081066</v>
      </c>
      <c r="AQ200">
        <v>0.50673782999999994</v>
      </c>
      <c r="AR200">
        <v>383</v>
      </c>
      <c r="AS200">
        <v>3798</v>
      </c>
      <c r="AT200" s="2">
        <v>198</v>
      </c>
      <c r="AU200">
        <v>3869</v>
      </c>
      <c r="AV200" s="3">
        <v>0.27211559000000002</v>
      </c>
      <c r="AW200">
        <v>3869</v>
      </c>
      <c r="AX200" s="2">
        <v>411</v>
      </c>
      <c r="AY200">
        <v>3768</v>
      </c>
    </row>
    <row r="201" spans="34:51" x14ac:dyDescent="0.25">
      <c r="AH201">
        <v>199</v>
      </c>
      <c r="AI201">
        <v>3846</v>
      </c>
      <c r="AJ201">
        <f t="shared" si="19"/>
        <v>498.65262610504419</v>
      </c>
      <c r="AK201">
        <f t="shared" si="20"/>
        <v>1.9931262201189136E-3</v>
      </c>
      <c r="AL201">
        <f t="shared" si="21"/>
        <v>0.3990045204209296</v>
      </c>
      <c r="AQ201">
        <v>0.82510452999999995</v>
      </c>
      <c r="AR201">
        <v>382</v>
      </c>
      <c r="AS201">
        <v>3713</v>
      </c>
      <c r="AT201" s="2">
        <v>199</v>
      </c>
      <c r="AU201">
        <v>3741</v>
      </c>
      <c r="AV201" s="3">
        <v>0.83439118000000001</v>
      </c>
      <c r="AW201">
        <v>3741</v>
      </c>
      <c r="AX201" s="2">
        <v>142</v>
      </c>
      <c r="AY201">
        <v>3768</v>
      </c>
    </row>
    <row r="202" spans="34:51" x14ac:dyDescent="0.25">
      <c r="AH202">
        <v>200</v>
      </c>
      <c r="AI202">
        <v>3833</v>
      </c>
      <c r="AJ202">
        <f t="shared" si="19"/>
        <v>500.34385598747718</v>
      </c>
      <c r="AK202">
        <f t="shared" si="20"/>
        <v>1.9998861055510937E-3</v>
      </c>
      <c r="AL202">
        <f t="shared" si="21"/>
        <v>0.40100440652648067</v>
      </c>
      <c r="AQ202">
        <v>0.55622267999999997</v>
      </c>
      <c r="AR202">
        <v>128</v>
      </c>
      <c r="AS202">
        <v>3815</v>
      </c>
      <c r="AT202" s="2">
        <v>200</v>
      </c>
      <c r="AU202">
        <v>3897</v>
      </c>
      <c r="AV202" s="3">
        <v>0.36210299000000001</v>
      </c>
      <c r="AW202">
        <v>3897</v>
      </c>
      <c r="AX202" s="2">
        <v>332</v>
      </c>
      <c r="AY202">
        <v>3769</v>
      </c>
    </row>
    <row r="203" spans="34:51" x14ac:dyDescent="0.25">
      <c r="AH203">
        <v>201</v>
      </c>
      <c r="AI203">
        <v>3912</v>
      </c>
      <c r="AJ203">
        <f t="shared" si="19"/>
        <v>490.23977505112475</v>
      </c>
      <c r="AK203">
        <f t="shared" si="20"/>
        <v>1.9594998575095455E-3</v>
      </c>
      <c r="AL203">
        <f t="shared" si="21"/>
        <v>0.40296390638399021</v>
      </c>
      <c r="AQ203">
        <v>0.99171346000000005</v>
      </c>
      <c r="AR203">
        <v>91</v>
      </c>
      <c r="AS203">
        <v>3813</v>
      </c>
      <c r="AT203" s="2">
        <v>201</v>
      </c>
      <c r="AU203">
        <v>3822</v>
      </c>
      <c r="AV203" s="3">
        <v>0.82285184</v>
      </c>
      <c r="AW203">
        <v>3822</v>
      </c>
      <c r="AX203" s="2">
        <v>424</v>
      </c>
      <c r="AY203">
        <v>3771</v>
      </c>
    </row>
    <row r="204" spans="34:51" x14ac:dyDescent="0.25">
      <c r="AH204">
        <v>202</v>
      </c>
      <c r="AI204">
        <v>3844</v>
      </c>
      <c r="AJ204">
        <f t="shared" si="19"/>
        <v>498.91207075962541</v>
      </c>
      <c r="AK204">
        <f t="shared" si="20"/>
        <v>1.9941632264769359E-3</v>
      </c>
      <c r="AL204">
        <f t="shared" si="21"/>
        <v>0.40495806961046715</v>
      </c>
      <c r="AQ204">
        <v>0.73620545999999998</v>
      </c>
      <c r="AR204">
        <v>73</v>
      </c>
      <c r="AS204">
        <v>3738</v>
      </c>
      <c r="AT204" s="2">
        <v>202</v>
      </c>
      <c r="AU204">
        <v>3738</v>
      </c>
      <c r="AV204" s="3">
        <v>0.24645244999999999</v>
      </c>
      <c r="AW204">
        <v>3738</v>
      </c>
      <c r="AX204" s="2">
        <v>73</v>
      </c>
      <c r="AY204">
        <v>3771</v>
      </c>
    </row>
    <row r="205" spans="34:51" x14ac:dyDescent="0.25">
      <c r="AH205">
        <v>203</v>
      </c>
      <c r="AI205">
        <v>3759</v>
      </c>
      <c r="AJ205">
        <f t="shared" si="19"/>
        <v>510.19366852886407</v>
      </c>
      <c r="AK205">
        <f t="shared" si="20"/>
        <v>2.0392560368654809E-3</v>
      </c>
      <c r="AL205">
        <f t="shared" si="21"/>
        <v>0.40699732564733265</v>
      </c>
      <c r="AQ205">
        <v>0.53733640999999999</v>
      </c>
      <c r="AR205">
        <v>190</v>
      </c>
      <c r="AS205">
        <v>3911</v>
      </c>
      <c r="AT205" s="2">
        <v>203</v>
      </c>
      <c r="AU205">
        <v>4009</v>
      </c>
      <c r="AV205" s="3">
        <v>0.74560910000000002</v>
      </c>
      <c r="AW205">
        <v>4009</v>
      </c>
      <c r="AX205" s="2">
        <v>230</v>
      </c>
      <c r="AY205">
        <v>3772</v>
      </c>
    </row>
    <row r="206" spans="34:51" x14ac:dyDescent="0.25">
      <c r="AH206">
        <v>204</v>
      </c>
      <c r="AI206">
        <v>3802</v>
      </c>
      <c r="AJ206">
        <f t="shared" si="19"/>
        <v>504.42346133613887</v>
      </c>
      <c r="AK206">
        <f t="shared" si="20"/>
        <v>2.0161923836342298E-3</v>
      </c>
      <c r="AL206">
        <f t="shared" si="21"/>
        <v>0.40901351803096686</v>
      </c>
      <c r="AQ206">
        <v>0.46762276000000003</v>
      </c>
      <c r="AR206">
        <v>219</v>
      </c>
      <c r="AS206">
        <v>3868</v>
      </c>
      <c r="AT206" s="2">
        <v>204</v>
      </c>
      <c r="AU206">
        <v>4028</v>
      </c>
      <c r="AV206" s="3">
        <v>0.37576365</v>
      </c>
      <c r="AW206">
        <v>4028</v>
      </c>
      <c r="AX206" s="2">
        <v>96</v>
      </c>
      <c r="AY206">
        <v>3773</v>
      </c>
    </row>
    <row r="207" spans="34:51" x14ac:dyDescent="0.25">
      <c r="AH207">
        <v>205</v>
      </c>
      <c r="AI207">
        <v>3823</v>
      </c>
      <c r="AJ207">
        <f t="shared" si="19"/>
        <v>501.65262882552969</v>
      </c>
      <c r="AK207">
        <f t="shared" si="20"/>
        <v>2.005117301223474E-3</v>
      </c>
      <c r="AL207">
        <f t="shared" si="21"/>
        <v>0.41101863533219035</v>
      </c>
      <c r="AQ207">
        <v>0.36322611999999999</v>
      </c>
      <c r="AR207">
        <v>444</v>
      </c>
      <c r="AS207">
        <v>3814</v>
      </c>
      <c r="AT207" s="2">
        <v>205</v>
      </c>
      <c r="AU207">
        <v>3768</v>
      </c>
      <c r="AV207" s="3">
        <v>0.78992647000000005</v>
      </c>
      <c r="AW207">
        <v>3768</v>
      </c>
      <c r="AX207" s="2">
        <v>111</v>
      </c>
      <c r="AY207">
        <v>3774</v>
      </c>
    </row>
    <row r="208" spans="34:51" x14ac:dyDescent="0.25">
      <c r="AH208">
        <v>206</v>
      </c>
      <c r="AI208">
        <v>3805</v>
      </c>
      <c r="AJ208">
        <f t="shared" si="19"/>
        <v>504.02575558475689</v>
      </c>
      <c r="AK208">
        <f t="shared" si="20"/>
        <v>2.0146027444355695E-3</v>
      </c>
      <c r="AL208">
        <f t="shared" si="21"/>
        <v>0.4130332380766259</v>
      </c>
      <c r="AQ208">
        <v>0.55452882999999997</v>
      </c>
      <c r="AR208">
        <v>424</v>
      </c>
      <c r="AS208">
        <v>3730</v>
      </c>
      <c r="AT208" s="2">
        <v>206</v>
      </c>
      <c r="AU208">
        <v>3700</v>
      </c>
      <c r="AV208" s="3">
        <v>0.57105863000000001</v>
      </c>
      <c r="AW208">
        <v>3700</v>
      </c>
      <c r="AX208" s="2">
        <v>36</v>
      </c>
      <c r="AY208">
        <v>3774</v>
      </c>
    </row>
    <row r="209" spans="34:51" x14ac:dyDescent="0.25">
      <c r="AH209">
        <v>207</v>
      </c>
      <c r="AI209">
        <v>3791</v>
      </c>
      <c r="AJ209">
        <f t="shared" si="19"/>
        <v>505.88710102875228</v>
      </c>
      <c r="AK209">
        <f t="shared" si="20"/>
        <v>2.0220425857497603E-3</v>
      </c>
      <c r="AL209">
        <f t="shared" si="21"/>
        <v>0.41505528066237568</v>
      </c>
      <c r="AQ209">
        <v>0.53378230000000004</v>
      </c>
      <c r="AR209">
        <v>412</v>
      </c>
      <c r="AS209">
        <v>4025</v>
      </c>
      <c r="AT209" s="2">
        <v>207</v>
      </c>
      <c r="AU209">
        <v>3980</v>
      </c>
      <c r="AV209" s="3">
        <v>0.34430032999999999</v>
      </c>
      <c r="AW209">
        <v>3980</v>
      </c>
      <c r="AX209" s="2">
        <v>419</v>
      </c>
      <c r="AY209">
        <v>3774</v>
      </c>
    </row>
    <row r="210" spans="34:51" x14ac:dyDescent="0.25">
      <c r="AH210">
        <v>208</v>
      </c>
      <c r="AI210">
        <v>3918</v>
      </c>
      <c r="AJ210">
        <f t="shared" si="19"/>
        <v>489.4890250127616</v>
      </c>
      <c r="AK210">
        <f t="shared" si="20"/>
        <v>1.9564990920309701E-3</v>
      </c>
      <c r="AL210">
        <f t="shared" si="21"/>
        <v>0.41701177975440668</v>
      </c>
      <c r="AQ210">
        <v>0.37403702999999999</v>
      </c>
      <c r="AR210">
        <v>458</v>
      </c>
      <c r="AS210">
        <v>3695</v>
      </c>
      <c r="AT210" s="2">
        <v>208</v>
      </c>
      <c r="AU210">
        <v>3747</v>
      </c>
      <c r="AV210" s="3">
        <v>0.11216068</v>
      </c>
      <c r="AW210">
        <v>3747</v>
      </c>
      <c r="AX210" s="2">
        <v>402</v>
      </c>
      <c r="AY210">
        <v>3775</v>
      </c>
    </row>
    <row r="211" spans="34:51" x14ac:dyDescent="0.25">
      <c r="AH211">
        <v>209</v>
      </c>
      <c r="AI211">
        <v>3693</v>
      </c>
      <c r="AJ211">
        <f t="shared" si="19"/>
        <v>519.31167072840515</v>
      </c>
      <c r="AK211">
        <f t="shared" si="20"/>
        <v>2.0757009051116551E-3</v>
      </c>
      <c r="AL211">
        <f t="shared" si="21"/>
        <v>0.41908748065951834</v>
      </c>
      <c r="AQ211">
        <v>0.20672745000000001</v>
      </c>
      <c r="AR211">
        <v>457</v>
      </c>
      <c r="AS211">
        <v>3706</v>
      </c>
      <c r="AT211" s="2">
        <v>209</v>
      </c>
      <c r="AU211">
        <v>3759</v>
      </c>
      <c r="AV211" s="3">
        <v>0.23332327999999999</v>
      </c>
      <c r="AW211">
        <v>3759</v>
      </c>
      <c r="AX211" s="2">
        <v>98</v>
      </c>
      <c r="AY211">
        <v>3775</v>
      </c>
    </row>
    <row r="212" spans="34:51" x14ac:dyDescent="0.25">
      <c r="AH212">
        <v>210</v>
      </c>
      <c r="AI212">
        <v>3875</v>
      </c>
      <c r="AJ212">
        <f t="shared" si="19"/>
        <v>494.92077419354837</v>
      </c>
      <c r="AK212">
        <f t="shared" si="20"/>
        <v>1.9782099206651204E-3</v>
      </c>
      <c r="AL212">
        <f t="shared" si="21"/>
        <v>0.42106569058018345</v>
      </c>
      <c r="AQ212">
        <v>0.58579241999999998</v>
      </c>
      <c r="AR212">
        <v>230</v>
      </c>
      <c r="AS212">
        <v>3760</v>
      </c>
      <c r="AT212" s="2">
        <v>210</v>
      </c>
      <c r="AU212">
        <v>3642</v>
      </c>
      <c r="AV212" s="3">
        <v>0.53310453999999996</v>
      </c>
      <c r="AW212">
        <v>3642</v>
      </c>
      <c r="AX212" s="2">
        <v>48</v>
      </c>
      <c r="AY212">
        <v>3775</v>
      </c>
    </row>
    <row r="213" spans="34:51" x14ac:dyDescent="0.25">
      <c r="AH213">
        <v>211</v>
      </c>
      <c r="AI213">
        <v>3934</v>
      </c>
      <c r="AJ213">
        <f t="shared" si="19"/>
        <v>487.4982206405694</v>
      </c>
      <c r="AK213">
        <f t="shared" si="20"/>
        <v>1.9485418003501124E-3</v>
      </c>
      <c r="AL213">
        <f t="shared" si="21"/>
        <v>0.42301423238053354</v>
      </c>
      <c r="AQ213">
        <v>4.6887999999999999E-3</v>
      </c>
      <c r="AR213">
        <v>281</v>
      </c>
      <c r="AS213">
        <v>3770</v>
      </c>
      <c r="AT213" s="2">
        <v>211</v>
      </c>
      <c r="AU213">
        <v>3760</v>
      </c>
      <c r="AV213" s="3">
        <v>0.83145362</v>
      </c>
      <c r="AW213">
        <v>3760</v>
      </c>
      <c r="AX213" s="2">
        <v>42</v>
      </c>
      <c r="AY213">
        <v>3777</v>
      </c>
    </row>
    <row r="214" spans="34:51" x14ac:dyDescent="0.25">
      <c r="AH214">
        <v>212</v>
      </c>
      <c r="AI214">
        <v>3866</v>
      </c>
      <c r="AJ214">
        <f t="shared" si="19"/>
        <v>496.0729436109674</v>
      </c>
      <c r="AK214">
        <f t="shared" si="20"/>
        <v>1.9828151687991055E-3</v>
      </c>
      <c r="AL214">
        <f t="shared" si="21"/>
        <v>0.42499704754933265</v>
      </c>
      <c r="AQ214">
        <v>0.51722573999999999</v>
      </c>
      <c r="AR214">
        <v>273</v>
      </c>
      <c r="AS214">
        <v>3713</v>
      </c>
      <c r="AT214" s="2">
        <v>212</v>
      </c>
      <c r="AU214">
        <v>3713</v>
      </c>
      <c r="AV214" s="3">
        <v>0.78082775999999998</v>
      </c>
      <c r="AW214">
        <v>3713</v>
      </c>
      <c r="AX214" s="2">
        <v>347</v>
      </c>
      <c r="AY214">
        <v>3777</v>
      </c>
    </row>
    <row r="215" spans="34:51" x14ac:dyDescent="0.25">
      <c r="AH215">
        <v>213</v>
      </c>
      <c r="AI215">
        <v>3747</v>
      </c>
      <c r="AJ215">
        <f t="shared" si="19"/>
        <v>511.82759540966106</v>
      </c>
      <c r="AK215">
        <f t="shared" si="20"/>
        <v>2.0457868808586447E-3</v>
      </c>
      <c r="AL215">
        <f t="shared" si="21"/>
        <v>0.42704283443019131</v>
      </c>
      <c r="AQ215">
        <v>0.35943669</v>
      </c>
      <c r="AR215">
        <v>352</v>
      </c>
      <c r="AS215">
        <v>3739</v>
      </c>
      <c r="AT215" s="2">
        <v>213</v>
      </c>
      <c r="AU215">
        <v>3775</v>
      </c>
      <c r="AV215" s="3">
        <v>8.6941180000000007E-2</v>
      </c>
      <c r="AW215">
        <v>3775</v>
      </c>
      <c r="AX215" s="2">
        <v>408</v>
      </c>
      <c r="AY215">
        <v>3777</v>
      </c>
    </row>
    <row r="216" spans="34:51" x14ac:dyDescent="0.25">
      <c r="AH216">
        <v>214</v>
      </c>
      <c r="AI216">
        <v>3844</v>
      </c>
      <c r="AJ216">
        <f t="shared" si="19"/>
        <v>498.91207075962541</v>
      </c>
      <c r="AK216">
        <f t="shared" si="20"/>
        <v>1.9941632264769359E-3</v>
      </c>
      <c r="AL216">
        <f t="shared" si="21"/>
        <v>0.42903699765666825</v>
      </c>
      <c r="AQ216">
        <v>0.63083851000000002</v>
      </c>
      <c r="AR216">
        <v>165</v>
      </c>
      <c r="AS216">
        <v>3660</v>
      </c>
      <c r="AT216" s="2">
        <v>214</v>
      </c>
      <c r="AU216">
        <v>3755</v>
      </c>
      <c r="AV216" s="3">
        <v>0.6433934</v>
      </c>
      <c r="AW216">
        <v>3755</v>
      </c>
      <c r="AX216" s="2">
        <v>331</v>
      </c>
      <c r="AY216">
        <v>3777</v>
      </c>
    </row>
    <row r="217" spans="34:51" x14ac:dyDescent="0.25">
      <c r="AH217">
        <v>215</v>
      </c>
      <c r="AI217">
        <v>3896</v>
      </c>
      <c r="AJ217">
        <f t="shared" si="19"/>
        <v>492.25308008213551</v>
      </c>
      <c r="AK217">
        <f t="shared" si="20"/>
        <v>1.967547084850447E-3</v>
      </c>
      <c r="AL217">
        <f t="shared" si="21"/>
        <v>0.43100454474151872</v>
      </c>
      <c r="AQ217">
        <v>0.61002904000000002</v>
      </c>
      <c r="AR217">
        <v>4</v>
      </c>
      <c r="AS217">
        <v>3543</v>
      </c>
      <c r="AT217" s="2">
        <v>215</v>
      </c>
      <c r="AU217">
        <v>3792</v>
      </c>
      <c r="AV217" s="3">
        <v>0.73715931000000001</v>
      </c>
      <c r="AW217">
        <v>3792</v>
      </c>
      <c r="AX217" s="2">
        <v>205</v>
      </c>
      <c r="AY217">
        <v>3778</v>
      </c>
    </row>
    <row r="218" spans="34:51" x14ac:dyDescent="0.25">
      <c r="AH218">
        <v>216</v>
      </c>
      <c r="AI218">
        <v>3748</v>
      </c>
      <c r="AJ218">
        <f t="shared" si="19"/>
        <v>511.69103521878333</v>
      </c>
      <c r="AK218">
        <f t="shared" si="20"/>
        <v>2.0452410465787996E-3</v>
      </c>
      <c r="AL218">
        <f t="shared" si="21"/>
        <v>0.4330497857880975</v>
      </c>
      <c r="AQ218">
        <v>0.72976947000000003</v>
      </c>
      <c r="AR218">
        <v>358</v>
      </c>
      <c r="AS218">
        <v>3933</v>
      </c>
      <c r="AT218" s="2">
        <v>216</v>
      </c>
      <c r="AU218">
        <v>3917</v>
      </c>
      <c r="AV218" s="3">
        <v>0.60399389000000003</v>
      </c>
      <c r="AW218">
        <v>3917</v>
      </c>
      <c r="AX218" s="2">
        <v>180</v>
      </c>
      <c r="AY218">
        <v>3779</v>
      </c>
    </row>
    <row r="219" spans="34:51" x14ac:dyDescent="0.25">
      <c r="AH219">
        <v>217</v>
      </c>
      <c r="AI219">
        <v>3922</v>
      </c>
      <c r="AJ219">
        <f t="shared" si="19"/>
        <v>488.98980112187661</v>
      </c>
      <c r="AK219">
        <f t="shared" si="20"/>
        <v>1.9545036824521523E-3</v>
      </c>
      <c r="AL219">
        <f t="shared" si="21"/>
        <v>0.43500428947054964</v>
      </c>
      <c r="AQ219">
        <v>0.88611214999999999</v>
      </c>
      <c r="AR219">
        <v>328</v>
      </c>
      <c r="AS219">
        <v>3845</v>
      </c>
      <c r="AT219" s="2">
        <v>217</v>
      </c>
      <c r="AU219">
        <v>3924</v>
      </c>
      <c r="AV219" s="3">
        <v>0.24659318</v>
      </c>
      <c r="AW219">
        <v>3924</v>
      </c>
      <c r="AX219" s="2">
        <v>242</v>
      </c>
      <c r="AY219">
        <v>3779</v>
      </c>
    </row>
    <row r="220" spans="34:51" x14ac:dyDescent="0.25">
      <c r="AH220">
        <v>218</v>
      </c>
      <c r="AI220">
        <v>3916</v>
      </c>
      <c r="AJ220">
        <f t="shared" si="19"/>
        <v>489.73901940755871</v>
      </c>
      <c r="AK220">
        <f t="shared" si="20"/>
        <v>1.9574983254794028E-3</v>
      </c>
      <c r="AL220">
        <f t="shared" si="21"/>
        <v>0.43696178779602907</v>
      </c>
      <c r="AQ220">
        <v>0.80789219999999995</v>
      </c>
      <c r="AR220">
        <v>71</v>
      </c>
      <c r="AS220">
        <v>3736</v>
      </c>
      <c r="AT220" s="2">
        <v>218</v>
      </c>
      <c r="AU220">
        <v>3791</v>
      </c>
      <c r="AV220" s="3">
        <v>0.52698624000000005</v>
      </c>
      <c r="AW220">
        <v>3791</v>
      </c>
      <c r="AX220" s="2">
        <v>217</v>
      </c>
      <c r="AY220">
        <v>3780</v>
      </c>
    </row>
    <row r="221" spans="34:51" x14ac:dyDescent="0.25">
      <c r="AH221">
        <v>219</v>
      </c>
      <c r="AI221">
        <v>3868</v>
      </c>
      <c r="AJ221">
        <f t="shared" si="19"/>
        <v>495.81644260599791</v>
      </c>
      <c r="AK221">
        <f t="shared" si="20"/>
        <v>1.9817899282774925E-3</v>
      </c>
      <c r="AL221">
        <f t="shared" si="21"/>
        <v>0.43894357772430653</v>
      </c>
      <c r="AQ221">
        <v>5.7627739999999997E-2</v>
      </c>
      <c r="AR221">
        <v>311</v>
      </c>
      <c r="AS221">
        <v>3840</v>
      </c>
      <c r="AT221" s="2">
        <v>219</v>
      </c>
      <c r="AU221">
        <v>3840</v>
      </c>
      <c r="AV221" s="3">
        <v>0.24873429999999999</v>
      </c>
      <c r="AW221">
        <v>3840</v>
      </c>
      <c r="AX221" s="2">
        <v>371</v>
      </c>
      <c r="AY221">
        <v>3780</v>
      </c>
    </row>
    <row r="222" spans="34:51" x14ac:dyDescent="0.25">
      <c r="AH222">
        <v>220</v>
      </c>
      <c r="AI222">
        <v>3638</v>
      </c>
      <c r="AJ222">
        <f t="shared" si="19"/>
        <v>527.16272677295217</v>
      </c>
      <c r="AK222">
        <f t="shared" si="20"/>
        <v>2.1070817599168064E-3</v>
      </c>
      <c r="AL222">
        <f t="shared" si="21"/>
        <v>0.44105065948422334</v>
      </c>
      <c r="AQ222">
        <v>0.70069408</v>
      </c>
      <c r="AR222">
        <v>289</v>
      </c>
      <c r="AS222">
        <v>3810</v>
      </c>
      <c r="AT222" s="2">
        <v>220</v>
      </c>
      <c r="AU222">
        <v>3709</v>
      </c>
      <c r="AV222" s="3">
        <v>0.83220839999999996</v>
      </c>
      <c r="AW222">
        <v>3709</v>
      </c>
      <c r="AX222" s="2">
        <v>201</v>
      </c>
      <c r="AY222">
        <v>3780</v>
      </c>
    </row>
    <row r="223" spans="34:51" x14ac:dyDescent="0.25">
      <c r="AH223">
        <v>221</v>
      </c>
      <c r="AI223">
        <v>3661</v>
      </c>
      <c r="AJ223">
        <f t="shared" si="19"/>
        <v>523.85086042065006</v>
      </c>
      <c r="AK223">
        <f t="shared" si="20"/>
        <v>2.0938441525750729E-3</v>
      </c>
      <c r="AL223">
        <f t="shared" si="21"/>
        <v>0.44314450363679841</v>
      </c>
      <c r="AQ223">
        <v>0.28217619999999999</v>
      </c>
      <c r="AR223">
        <v>84</v>
      </c>
      <c r="AS223">
        <v>3649</v>
      </c>
      <c r="AT223" s="2">
        <v>221</v>
      </c>
      <c r="AU223">
        <v>3972</v>
      </c>
      <c r="AV223" s="3">
        <v>0.52313131000000002</v>
      </c>
      <c r="AW223">
        <v>3972</v>
      </c>
      <c r="AX223" s="2">
        <v>8</v>
      </c>
      <c r="AY223">
        <v>3780</v>
      </c>
    </row>
    <row r="224" spans="34:51" x14ac:dyDescent="0.25">
      <c r="AH224">
        <v>222</v>
      </c>
      <c r="AI224">
        <v>4007</v>
      </c>
      <c r="AJ224">
        <f t="shared" si="19"/>
        <v>478.61692038931869</v>
      </c>
      <c r="AK224">
        <f t="shared" si="20"/>
        <v>1.9130430353325035E-3</v>
      </c>
      <c r="AL224">
        <f t="shared" si="21"/>
        <v>0.44505754667213093</v>
      </c>
      <c r="AQ224">
        <v>0.94318639999999998</v>
      </c>
      <c r="AR224">
        <v>347</v>
      </c>
      <c r="AS224">
        <v>3893</v>
      </c>
      <c r="AT224" s="2">
        <v>222</v>
      </c>
      <c r="AU224">
        <v>3847</v>
      </c>
      <c r="AV224" s="3">
        <v>6.3826919999999995E-2</v>
      </c>
      <c r="AW224">
        <v>3847</v>
      </c>
      <c r="AX224" s="2">
        <v>40</v>
      </c>
      <c r="AY224">
        <v>3781</v>
      </c>
    </row>
    <row r="225" spans="34:51" x14ac:dyDescent="0.25">
      <c r="AH225">
        <v>223</v>
      </c>
      <c r="AI225">
        <v>3856</v>
      </c>
      <c r="AJ225">
        <f t="shared" si="19"/>
        <v>497.3594398340249</v>
      </c>
      <c r="AK225">
        <f t="shared" si="20"/>
        <v>1.9879573243198499E-3</v>
      </c>
      <c r="AL225">
        <f t="shared" si="21"/>
        <v>0.44704550399645077</v>
      </c>
      <c r="AQ225">
        <v>0.93128615999999997</v>
      </c>
      <c r="AR225">
        <v>206</v>
      </c>
      <c r="AS225">
        <v>3805</v>
      </c>
      <c r="AT225" s="2">
        <v>223</v>
      </c>
      <c r="AU225">
        <v>3882</v>
      </c>
      <c r="AV225" s="3">
        <v>0.78884703</v>
      </c>
      <c r="AW225">
        <v>3882</v>
      </c>
      <c r="AX225" s="2">
        <v>221</v>
      </c>
      <c r="AY225">
        <v>3781</v>
      </c>
    </row>
    <row r="226" spans="34:51" x14ac:dyDescent="0.25">
      <c r="AH226">
        <v>224</v>
      </c>
      <c r="AI226">
        <v>3804</v>
      </c>
      <c r="AJ226">
        <f t="shared" si="19"/>
        <v>504.15825446898003</v>
      </c>
      <c r="AK226">
        <f t="shared" si="20"/>
        <v>2.0151323455776396E-3</v>
      </c>
      <c r="AL226">
        <f t="shared" si="21"/>
        <v>0.44906063634202842</v>
      </c>
      <c r="AQ226">
        <v>0.49109577999999998</v>
      </c>
      <c r="AR226">
        <v>133</v>
      </c>
      <c r="AS226">
        <v>3739</v>
      </c>
      <c r="AT226" s="2">
        <v>224</v>
      </c>
      <c r="AU226">
        <v>3767</v>
      </c>
      <c r="AV226" s="4">
        <v>9.9658999999999998E-3</v>
      </c>
      <c r="AW226">
        <v>3767</v>
      </c>
      <c r="AX226" s="2">
        <v>11</v>
      </c>
      <c r="AY226">
        <v>3781</v>
      </c>
    </row>
    <row r="227" spans="34:51" x14ac:dyDescent="0.25">
      <c r="AH227">
        <v>225</v>
      </c>
      <c r="AI227">
        <v>3881</v>
      </c>
      <c r="AJ227">
        <f t="shared" si="19"/>
        <v>494.15562999227001</v>
      </c>
      <c r="AK227">
        <f t="shared" si="20"/>
        <v>1.9751516213804025E-3</v>
      </c>
      <c r="AL227">
        <f t="shared" si="21"/>
        <v>0.45103578796340882</v>
      </c>
      <c r="AQ227">
        <v>0.92684025000000003</v>
      </c>
      <c r="AR227">
        <v>130</v>
      </c>
      <c r="AS227">
        <v>3839</v>
      </c>
      <c r="AT227" s="2">
        <v>225</v>
      </c>
      <c r="AU227">
        <v>3651</v>
      </c>
      <c r="AV227" s="3">
        <v>0.84364253</v>
      </c>
      <c r="AW227">
        <v>3651</v>
      </c>
      <c r="AX227" s="2">
        <v>246</v>
      </c>
      <c r="AY227">
        <v>3781</v>
      </c>
    </row>
    <row r="228" spans="34:51" x14ac:dyDescent="0.25">
      <c r="AH228">
        <v>226</v>
      </c>
      <c r="AI228">
        <v>3716</v>
      </c>
      <c r="AJ228">
        <f t="shared" si="19"/>
        <v>516.09741657696452</v>
      </c>
      <c r="AK228">
        <f t="shared" si="20"/>
        <v>2.0628534560218899E-3</v>
      </c>
      <c r="AL228">
        <f t="shared" si="21"/>
        <v>0.45309864141943068</v>
      </c>
      <c r="AQ228">
        <v>0.21158683</v>
      </c>
      <c r="AR228">
        <v>308</v>
      </c>
      <c r="AS228">
        <v>3845</v>
      </c>
      <c r="AT228" s="2">
        <v>226</v>
      </c>
      <c r="AU228">
        <v>3854</v>
      </c>
      <c r="AV228" s="3">
        <v>0.49133134000000001</v>
      </c>
      <c r="AW228">
        <v>3854</v>
      </c>
      <c r="AX228" s="2">
        <v>382</v>
      </c>
      <c r="AY228">
        <v>3782</v>
      </c>
    </row>
    <row r="229" spans="34:51" x14ac:dyDescent="0.25">
      <c r="AH229">
        <v>227</v>
      </c>
      <c r="AI229">
        <v>3743</v>
      </c>
      <c r="AJ229">
        <f t="shared" si="19"/>
        <v>512.37456585626501</v>
      </c>
      <c r="AK229">
        <f t="shared" si="20"/>
        <v>2.0479731345384292E-3</v>
      </c>
      <c r="AL229">
        <f t="shared" si="21"/>
        <v>0.4551466145539691</v>
      </c>
      <c r="AQ229">
        <v>0.76890712999999999</v>
      </c>
      <c r="AR229">
        <v>429</v>
      </c>
      <c r="AS229">
        <v>3672</v>
      </c>
      <c r="AT229" s="2">
        <v>227</v>
      </c>
      <c r="AU229">
        <v>3876</v>
      </c>
      <c r="AV229" s="3">
        <v>0.71421950999999995</v>
      </c>
      <c r="AW229">
        <v>3876</v>
      </c>
      <c r="AX229" s="2">
        <v>410</v>
      </c>
      <c r="AY229">
        <v>3782</v>
      </c>
    </row>
    <row r="230" spans="34:51" x14ac:dyDescent="0.25">
      <c r="AH230">
        <v>228</v>
      </c>
      <c r="AI230">
        <v>3628</v>
      </c>
      <c r="AJ230">
        <f t="shared" si="19"/>
        <v>528.61576626240355</v>
      </c>
      <c r="AK230">
        <f t="shared" si="20"/>
        <v>2.1128895927721449E-3</v>
      </c>
      <c r="AL230">
        <f t="shared" si="21"/>
        <v>0.45725950414674127</v>
      </c>
      <c r="AQ230">
        <v>0.29976606</v>
      </c>
      <c r="AR230">
        <v>469</v>
      </c>
      <c r="AS230">
        <v>3865</v>
      </c>
      <c r="AT230" s="2">
        <v>228</v>
      </c>
      <c r="AU230">
        <v>3880</v>
      </c>
      <c r="AV230" s="3">
        <v>0.48519122999999997</v>
      </c>
      <c r="AW230">
        <v>3880</v>
      </c>
      <c r="AX230" s="2">
        <v>490</v>
      </c>
      <c r="AY230">
        <v>3782</v>
      </c>
    </row>
    <row r="231" spans="34:51" x14ac:dyDescent="0.25">
      <c r="AH231">
        <v>229</v>
      </c>
      <c r="AI231">
        <v>3661</v>
      </c>
      <c r="AJ231">
        <f t="shared" si="19"/>
        <v>523.85086042065006</v>
      </c>
      <c r="AK231">
        <f t="shared" si="20"/>
        <v>2.0938441525750729E-3</v>
      </c>
      <c r="AL231">
        <f t="shared" si="21"/>
        <v>0.45935334829931634</v>
      </c>
      <c r="AQ231">
        <v>0.78622979000000004</v>
      </c>
      <c r="AR231">
        <v>108</v>
      </c>
      <c r="AS231">
        <v>3804</v>
      </c>
      <c r="AT231" s="2">
        <v>229</v>
      </c>
      <c r="AU231">
        <v>3695</v>
      </c>
      <c r="AV231" s="4">
        <v>4.0867390000000003E-2</v>
      </c>
      <c r="AW231">
        <v>3688</v>
      </c>
      <c r="AX231" s="2">
        <v>276</v>
      </c>
      <c r="AY231">
        <v>3783</v>
      </c>
    </row>
    <row r="232" spans="34:51" x14ac:dyDescent="0.25">
      <c r="AH232">
        <v>230</v>
      </c>
      <c r="AI232">
        <v>3760</v>
      </c>
      <c r="AJ232">
        <f t="shared" si="19"/>
        <v>510.05797872340423</v>
      </c>
      <c r="AK232">
        <f t="shared" si="20"/>
        <v>2.038713681536527E-3</v>
      </c>
      <c r="AL232">
        <f t="shared" si="21"/>
        <v>0.46139206198085286</v>
      </c>
      <c r="AQ232">
        <v>2.721703E-2</v>
      </c>
      <c r="AR232">
        <v>338</v>
      </c>
      <c r="AS232">
        <v>3774</v>
      </c>
      <c r="AT232" s="2">
        <v>230</v>
      </c>
      <c r="AU232">
        <v>3780</v>
      </c>
      <c r="AV232" s="3">
        <v>0.16964161</v>
      </c>
      <c r="AW232">
        <v>3780</v>
      </c>
      <c r="AX232" s="2">
        <v>318</v>
      </c>
      <c r="AY232">
        <v>3783</v>
      </c>
    </row>
    <row r="233" spans="34:51" x14ac:dyDescent="0.25">
      <c r="AH233">
        <v>231</v>
      </c>
      <c r="AI233">
        <v>3824</v>
      </c>
      <c r="AJ233">
        <f t="shared" si="19"/>
        <v>501.52144351464437</v>
      </c>
      <c r="AK233">
        <f t="shared" si="20"/>
        <v>2.0045929504647862E-3</v>
      </c>
      <c r="AL233">
        <f t="shared" si="21"/>
        <v>0.46339665493131765</v>
      </c>
      <c r="AQ233">
        <v>0.39062005</v>
      </c>
      <c r="AR233">
        <v>450</v>
      </c>
      <c r="AS233">
        <v>3721</v>
      </c>
      <c r="AT233" s="2">
        <v>231</v>
      </c>
      <c r="AU233">
        <v>3705</v>
      </c>
      <c r="AV233" s="3">
        <v>0.47799473999999997</v>
      </c>
      <c r="AW233">
        <v>3705</v>
      </c>
      <c r="AX233" s="2">
        <v>259</v>
      </c>
      <c r="AY233">
        <v>3783</v>
      </c>
    </row>
    <row r="234" spans="34:51" x14ac:dyDescent="0.25">
      <c r="AH234">
        <v>232</v>
      </c>
      <c r="AI234">
        <v>3810</v>
      </c>
      <c r="AJ234">
        <f t="shared" si="19"/>
        <v>503.36430446194225</v>
      </c>
      <c r="AK234">
        <f t="shared" si="20"/>
        <v>2.0119589088129506E-3</v>
      </c>
      <c r="AL234">
        <f t="shared" si="21"/>
        <v>0.4654086138401306</v>
      </c>
      <c r="AQ234">
        <v>0.47881675000000001</v>
      </c>
      <c r="AR234">
        <v>456</v>
      </c>
      <c r="AS234">
        <v>3606</v>
      </c>
      <c r="AT234" s="2">
        <v>232</v>
      </c>
      <c r="AU234">
        <v>3620</v>
      </c>
      <c r="AV234" s="3">
        <v>0.67274736999999996</v>
      </c>
      <c r="AW234">
        <v>3620</v>
      </c>
      <c r="AX234" s="2">
        <v>99</v>
      </c>
      <c r="AY234">
        <v>3783</v>
      </c>
    </row>
    <row r="235" spans="34:51" x14ac:dyDescent="0.25">
      <c r="AH235">
        <v>233</v>
      </c>
      <c r="AI235">
        <v>3867</v>
      </c>
      <c r="AJ235">
        <f t="shared" si="19"/>
        <v>495.94465994310838</v>
      </c>
      <c r="AK235">
        <f t="shared" si="20"/>
        <v>1.9823024159755214E-3</v>
      </c>
      <c r="AL235">
        <f t="shared" si="21"/>
        <v>0.46739091625610613</v>
      </c>
      <c r="AQ235">
        <v>0.36650938</v>
      </c>
      <c r="AR235">
        <v>145</v>
      </c>
      <c r="AS235">
        <v>3823</v>
      </c>
      <c r="AT235" s="2">
        <v>233</v>
      </c>
      <c r="AU235">
        <v>3802</v>
      </c>
      <c r="AV235" s="3">
        <v>0.41655344</v>
      </c>
      <c r="AW235">
        <v>3802</v>
      </c>
      <c r="AX235" s="2">
        <v>293</v>
      </c>
      <c r="AY235">
        <v>3783</v>
      </c>
    </row>
    <row r="236" spans="34:51" x14ac:dyDescent="0.25">
      <c r="AH236">
        <v>234</v>
      </c>
      <c r="AI236">
        <v>3901</v>
      </c>
      <c r="AJ236">
        <f t="shared" si="19"/>
        <v>491.62214816713663</v>
      </c>
      <c r="AK236">
        <f t="shared" si="20"/>
        <v>1.9650252352159297E-3</v>
      </c>
      <c r="AL236">
        <f t="shared" si="21"/>
        <v>0.46935594149132204</v>
      </c>
      <c r="AQ236">
        <v>0.18408334000000001</v>
      </c>
      <c r="AR236">
        <v>438</v>
      </c>
      <c r="AS236">
        <v>3731</v>
      </c>
      <c r="AT236" s="2">
        <v>234</v>
      </c>
      <c r="AU236">
        <v>3774</v>
      </c>
      <c r="AV236" s="3">
        <v>0.13844334999999999</v>
      </c>
      <c r="AW236">
        <v>3774</v>
      </c>
      <c r="AX236" s="2">
        <v>226</v>
      </c>
      <c r="AY236">
        <v>3784</v>
      </c>
    </row>
    <row r="237" spans="34:51" x14ac:dyDescent="0.25">
      <c r="AH237">
        <v>235</v>
      </c>
      <c r="AI237">
        <v>3999</v>
      </c>
      <c r="AJ237">
        <f t="shared" si="19"/>
        <v>479.57439359839958</v>
      </c>
      <c r="AK237">
        <f t="shared" si="20"/>
        <v>1.9168700781638764E-3</v>
      </c>
      <c r="AL237">
        <f t="shared" si="21"/>
        <v>0.47127281156948592</v>
      </c>
      <c r="AQ237">
        <v>0.47690588</v>
      </c>
      <c r="AR237">
        <v>185</v>
      </c>
      <c r="AS237">
        <v>3841</v>
      </c>
      <c r="AT237" s="2">
        <v>235</v>
      </c>
      <c r="AU237">
        <v>3871</v>
      </c>
      <c r="AV237" s="3">
        <v>0.30034929999999999</v>
      </c>
      <c r="AW237">
        <v>3871</v>
      </c>
      <c r="AX237" s="2">
        <v>57</v>
      </c>
      <c r="AY237">
        <v>3785</v>
      </c>
    </row>
    <row r="238" spans="34:51" x14ac:dyDescent="0.25">
      <c r="AH238">
        <v>236</v>
      </c>
      <c r="AI238">
        <v>3770</v>
      </c>
      <c r="AJ238">
        <f t="shared" si="19"/>
        <v>508.7050397877984</v>
      </c>
      <c r="AK238">
        <f t="shared" si="20"/>
        <v>2.0333059529382869E-3</v>
      </c>
      <c r="AL238">
        <f t="shared" si="21"/>
        <v>0.47330611752242419</v>
      </c>
      <c r="AQ238">
        <v>0.79930495999999995</v>
      </c>
      <c r="AR238">
        <v>123</v>
      </c>
      <c r="AS238">
        <v>3764</v>
      </c>
      <c r="AT238" s="2">
        <v>236</v>
      </c>
      <c r="AU238">
        <v>3837</v>
      </c>
      <c r="AV238" s="3">
        <v>0.26940440999999998</v>
      </c>
      <c r="AW238">
        <v>3837</v>
      </c>
      <c r="AX238" s="2">
        <v>80</v>
      </c>
      <c r="AY238">
        <v>3785</v>
      </c>
    </row>
    <row r="239" spans="34:51" x14ac:dyDescent="0.25">
      <c r="AH239">
        <v>237</v>
      </c>
      <c r="AI239">
        <v>3802</v>
      </c>
      <c r="AJ239">
        <f t="shared" si="19"/>
        <v>504.42346133613887</v>
      </c>
      <c r="AK239">
        <f t="shared" si="20"/>
        <v>2.0161923836342298E-3</v>
      </c>
      <c r="AL239">
        <f t="shared" si="21"/>
        <v>0.47532230990605839</v>
      </c>
      <c r="AQ239">
        <v>0.91700762999999996</v>
      </c>
      <c r="AR239">
        <v>52</v>
      </c>
      <c r="AS239">
        <v>3681</v>
      </c>
      <c r="AT239" s="2">
        <v>237</v>
      </c>
      <c r="AU239">
        <v>3764</v>
      </c>
      <c r="AV239" s="3">
        <v>0.68542022000000002</v>
      </c>
      <c r="AW239">
        <v>3764</v>
      </c>
      <c r="AX239" s="2">
        <v>18</v>
      </c>
      <c r="AY239">
        <v>3786</v>
      </c>
    </row>
    <row r="240" spans="34:51" x14ac:dyDescent="0.25">
      <c r="AH240">
        <v>238</v>
      </c>
      <c r="AI240">
        <v>3867</v>
      </c>
      <c r="AJ240">
        <f t="shared" si="19"/>
        <v>495.94465994310838</v>
      </c>
      <c r="AK240">
        <f t="shared" si="20"/>
        <v>1.9823024159755214E-3</v>
      </c>
      <c r="AL240">
        <f t="shared" si="21"/>
        <v>0.47730461232203392</v>
      </c>
      <c r="AQ240">
        <v>0.24669993000000001</v>
      </c>
      <c r="AR240">
        <v>378</v>
      </c>
      <c r="AS240">
        <v>3698</v>
      </c>
      <c r="AT240" s="2">
        <v>238</v>
      </c>
      <c r="AU240">
        <v>3768</v>
      </c>
      <c r="AV240" s="3">
        <v>0.40532934999999998</v>
      </c>
      <c r="AW240">
        <v>3768</v>
      </c>
      <c r="AX240" s="2">
        <v>312</v>
      </c>
      <c r="AY240">
        <v>3787</v>
      </c>
    </row>
    <row r="241" spans="34:51" x14ac:dyDescent="0.25">
      <c r="AH241">
        <v>239</v>
      </c>
      <c r="AI241">
        <v>3729</v>
      </c>
      <c r="AJ241">
        <f t="shared" si="19"/>
        <v>514.29820327165464</v>
      </c>
      <c r="AK241">
        <f t="shared" si="20"/>
        <v>2.055661958320553E-3</v>
      </c>
      <c r="AL241">
        <f t="shared" si="21"/>
        <v>0.47936027428035449</v>
      </c>
      <c r="AQ241">
        <v>0.39672214</v>
      </c>
      <c r="AR241">
        <v>69</v>
      </c>
      <c r="AS241">
        <v>3779</v>
      </c>
      <c r="AT241" s="2">
        <v>239</v>
      </c>
      <c r="AU241">
        <v>3836</v>
      </c>
      <c r="AV241" s="3">
        <v>0.52923231999999998</v>
      </c>
      <c r="AW241">
        <v>3836</v>
      </c>
      <c r="AX241" s="2">
        <v>385</v>
      </c>
      <c r="AY241">
        <v>3787</v>
      </c>
    </row>
    <row r="242" spans="34:51" x14ac:dyDescent="0.25">
      <c r="AH242">
        <v>240</v>
      </c>
      <c r="AI242">
        <v>3906</v>
      </c>
      <c r="AJ242">
        <f t="shared" si="19"/>
        <v>490.99283154121866</v>
      </c>
      <c r="AK242">
        <f t="shared" si="20"/>
        <v>1.962509841929683E-3</v>
      </c>
      <c r="AL242">
        <f t="shared" si="21"/>
        <v>0.48132278412228419</v>
      </c>
      <c r="AQ242">
        <v>0.96685814999999997</v>
      </c>
      <c r="AR242">
        <v>80</v>
      </c>
      <c r="AS242">
        <v>3832</v>
      </c>
      <c r="AT242" s="2">
        <v>240</v>
      </c>
      <c r="AU242">
        <v>3896</v>
      </c>
      <c r="AV242" s="3">
        <v>0.74413227999999998</v>
      </c>
      <c r="AW242">
        <v>3896</v>
      </c>
      <c r="AX242" s="2">
        <v>487</v>
      </c>
      <c r="AY242">
        <v>3787</v>
      </c>
    </row>
    <row r="243" spans="34:51" x14ac:dyDescent="0.25">
      <c r="AH243">
        <v>241</v>
      </c>
      <c r="AI243">
        <v>3947</v>
      </c>
      <c r="AJ243">
        <f t="shared" si="19"/>
        <v>485.89257664048642</v>
      </c>
      <c r="AK243">
        <f t="shared" si="20"/>
        <v>1.9421240036932711E-3</v>
      </c>
      <c r="AL243">
        <f t="shared" si="21"/>
        <v>0.48326490812597744</v>
      </c>
      <c r="AQ243">
        <v>0.88334221000000002</v>
      </c>
      <c r="AR243">
        <v>431</v>
      </c>
      <c r="AS243">
        <v>3826</v>
      </c>
      <c r="AT243" s="2">
        <v>241</v>
      </c>
      <c r="AU243">
        <v>3847</v>
      </c>
      <c r="AV243" s="4">
        <v>2.7105750000000001E-2</v>
      </c>
      <c r="AW243">
        <v>3847</v>
      </c>
      <c r="AX243" s="2">
        <v>183</v>
      </c>
      <c r="AY243">
        <v>3787</v>
      </c>
    </row>
    <row r="244" spans="34:51" x14ac:dyDescent="0.25">
      <c r="AH244">
        <v>242</v>
      </c>
      <c r="AI244">
        <v>3834</v>
      </c>
      <c r="AJ244">
        <f t="shared" si="19"/>
        <v>500.2133541992697</v>
      </c>
      <c r="AK244">
        <f t="shared" si="20"/>
        <v>1.9993644868485502E-3</v>
      </c>
      <c r="AL244">
        <f t="shared" si="21"/>
        <v>0.48526427261282601</v>
      </c>
      <c r="AQ244">
        <v>0.19071376000000001</v>
      </c>
      <c r="AR244">
        <v>141</v>
      </c>
      <c r="AS244">
        <v>3849</v>
      </c>
      <c r="AT244" s="2">
        <v>242</v>
      </c>
      <c r="AU244">
        <v>3858</v>
      </c>
      <c r="AV244" s="3">
        <v>0.98322248000000001</v>
      </c>
      <c r="AW244">
        <v>3858</v>
      </c>
      <c r="AX244" s="2">
        <v>178</v>
      </c>
      <c r="AY244">
        <v>3787</v>
      </c>
    </row>
    <row r="245" spans="34:51" x14ac:dyDescent="0.25">
      <c r="AH245">
        <v>243</v>
      </c>
      <c r="AI245">
        <v>3819</v>
      </c>
      <c r="AJ245">
        <f t="shared" si="19"/>
        <v>502.17805708300602</v>
      </c>
      <c r="AK245">
        <f t="shared" si="20"/>
        <v>2.0072174502690082E-3</v>
      </c>
      <c r="AL245">
        <f t="shared" si="21"/>
        <v>0.487271490063095</v>
      </c>
      <c r="AQ245">
        <v>0.28562789999999999</v>
      </c>
      <c r="AR245">
        <v>165</v>
      </c>
      <c r="AS245">
        <v>3660</v>
      </c>
      <c r="AT245" s="2">
        <v>243</v>
      </c>
      <c r="AU245">
        <v>3644</v>
      </c>
      <c r="AV245" s="3">
        <v>0.34523553000000001</v>
      </c>
      <c r="AW245">
        <v>3644</v>
      </c>
      <c r="AX245" s="2">
        <v>279</v>
      </c>
      <c r="AY245">
        <v>3788</v>
      </c>
    </row>
    <row r="246" spans="34:51" x14ac:dyDescent="0.25">
      <c r="AH246">
        <v>244</v>
      </c>
      <c r="AI246">
        <v>3611</v>
      </c>
      <c r="AJ246">
        <f t="shared" si="19"/>
        <v>531.10440321240651</v>
      </c>
      <c r="AK246">
        <f t="shared" si="20"/>
        <v>2.1228367329208923E-3</v>
      </c>
      <c r="AL246">
        <f t="shared" si="21"/>
        <v>0.48939432679601591</v>
      </c>
      <c r="AQ246">
        <v>0.38729905999999997</v>
      </c>
      <c r="AR246">
        <v>301</v>
      </c>
      <c r="AS246">
        <v>3726</v>
      </c>
      <c r="AT246" s="2">
        <v>244</v>
      </c>
      <c r="AU246">
        <v>3726</v>
      </c>
      <c r="AV246" s="3">
        <v>0.52207482000000005</v>
      </c>
      <c r="AW246">
        <v>3726</v>
      </c>
      <c r="AX246" s="2">
        <v>313</v>
      </c>
      <c r="AY246">
        <v>3789</v>
      </c>
    </row>
    <row r="247" spans="34:51" x14ac:dyDescent="0.25">
      <c r="AH247">
        <v>245</v>
      </c>
      <c r="AI247">
        <v>3806</v>
      </c>
      <c r="AJ247">
        <f t="shared" si="19"/>
        <v>503.89332632685233</v>
      </c>
      <c r="AK247">
        <f t="shared" si="20"/>
        <v>2.0140734215915242E-3</v>
      </c>
      <c r="AL247">
        <f t="shared" si="21"/>
        <v>0.49140840021760746</v>
      </c>
      <c r="AQ247">
        <v>0.61054485999999997</v>
      </c>
      <c r="AR247">
        <v>4</v>
      </c>
      <c r="AS247">
        <v>3543</v>
      </c>
      <c r="AT247" s="2">
        <v>245</v>
      </c>
      <c r="AU247">
        <v>3515</v>
      </c>
      <c r="AV247" s="3">
        <v>0.39042168999999999</v>
      </c>
      <c r="AW247">
        <v>3515</v>
      </c>
      <c r="AX247" s="2">
        <v>303</v>
      </c>
      <c r="AY247">
        <v>3789</v>
      </c>
    </row>
    <row r="248" spans="34:51" x14ac:dyDescent="0.25">
      <c r="AH248">
        <v>246</v>
      </c>
      <c r="AI248">
        <v>4033</v>
      </c>
      <c r="AJ248">
        <f t="shared" si="19"/>
        <v>475.53136622861393</v>
      </c>
      <c r="AK248">
        <f t="shared" si="20"/>
        <v>1.9007100031186068E-3</v>
      </c>
      <c r="AL248">
        <f t="shared" si="21"/>
        <v>0.49330911022072604</v>
      </c>
      <c r="AQ248">
        <v>0.29352962999999999</v>
      </c>
      <c r="AR248">
        <v>324</v>
      </c>
      <c r="AS248">
        <v>3772</v>
      </c>
      <c r="AT248" s="2">
        <v>246</v>
      </c>
      <c r="AU248">
        <v>3796</v>
      </c>
      <c r="AV248" s="4">
        <v>2.6286839999999999E-2</v>
      </c>
      <c r="AW248">
        <v>3746</v>
      </c>
      <c r="AX248" s="2">
        <v>353</v>
      </c>
      <c r="AY248">
        <v>3789</v>
      </c>
    </row>
    <row r="249" spans="34:51" x14ac:dyDescent="0.25">
      <c r="AH249">
        <v>247</v>
      </c>
      <c r="AI249">
        <v>4042</v>
      </c>
      <c r="AJ249">
        <f t="shared" si="19"/>
        <v>474.47253834735278</v>
      </c>
      <c r="AK249">
        <f t="shared" si="20"/>
        <v>1.8964778432897925E-3</v>
      </c>
      <c r="AL249">
        <f t="shared" si="21"/>
        <v>0.49520558806401582</v>
      </c>
      <c r="AQ249">
        <v>0.37390881999999998</v>
      </c>
      <c r="AR249">
        <v>375</v>
      </c>
      <c r="AS249">
        <v>3819</v>
      </c>
      <c r="AT249" s="2">
        <v>247</v>
      </c>
      <c r="AU249">
        <v>3877</v>
      </c>
      <c r="AV249" s="3">
        <v>0.39833837999999999</v>
      </c>
      <c r="AW249">
        <v>3877</v>
      </c>
      <c r="AX249" s="2">
        <v>351</v>
      </c>
      <c r="AY249">
        <v>3790</v>
      </c>
    </row>
    <row r="250" spans="34:51" x14ac:dyDescent="0.25">
      <c r="AH250">
        <v>248</v>
      </c>
      <c r="AI250">
        <v>3938</v>
      </c>
      <c r="AJ250">
        <f t="shared" si="19"/>
        <v>487.00304723209752</v>
      </c>
      <c r="AK250">
        <f t="shared" si="20"/>
        <v>1.9465625806443225E-3</v>
      </c>
      <c r="AL250">
        <f t="shared" si="21"/>
        <v>0.49715215064466012</v>
      </c>
      <c r="AQ250">
        <v>0.18227077</v>
      </c>
      <c r="AR250">
        <v>450</v>
      </c>
      <c r="AS250">
        <v>3721</v>
      </c>
      <c r="AT250" s="2">
        <v>248</v>
      </c>
      <c r="AU250">
        <v>3706</v>
      </c>
      <c r="AV250" s="3">
        <v>0.33188247999999998</v>
      </c>
      <c r="AW250">
        <v>3706</v>
      </c>
      <c r="AX250" s="2">
        <v>134</v>
      </c>
      <c r="AY250">
        <v>3791</v>
      </c>
    </row>
    <row r="251" spans="34:51" x14ac:dyDescent="0.25">
      <c r="AH251">
        <v>249</v>
      </c>
      <c r="AI251">
        <v>3777</v>
      </c>
      <c r="AJ251">
        <f t="shared" si="19"/>
        <v>507.76224516812283</v>
      </c>
      <c r="AK251">
        <f t="shared" si="20"/>
        <v>2.0295375807723964E-3</v>
      </c>
      <c r="AL251">
        <f t="shared" si="21"/>
        <v>0.49918168822543252</v>
      </c>
      <c r="AQ251">
        <v>0.29618639000000002</v>
      </c>
      <c r="AR251">
        <v>265</v>
      </c>
      <c r="AS251">
        <v>3853</v>
      </c>
      <c r="AT251" s="2">
        <v>249</v>
      </c>
      <c r="AU251">
        <v>3805</v>
      </c>
      <c r="AV251" s="3">
        <v>0.42865007999999999</v>
      </c>
      <c r="AW251">
        <v>3805</v>
      </c>
      <c r="AX251" s="2">
        <v>418</v>
      </c>
      <c r="AY251">
        <v>3791</v>
      </c>
    </row>
    <row r="252" spans="34:51" x14ac:dyDescent="0.25">
      <c r="AH252">
        <v>250</v>
      </c>
      <c r="AI252">
        <v>3788</v>
      </c>
      <c r="AJ252">
        <f t="shared" si="19"/>
        <v>506.28775079197464</v>
      </c>
      <c r="AK252">
        <f t="shared" si="20"/>
        <v>2.0236439922326666E-3</v>
      </c>
      <c r="AL252">
        <f t="shared" si="21"/>
        <v>0.50120533221766517</v>
      </c>
      <c r="AQ252">
        <v>0.27493513000000003</v>
      </c>
      <c r="AR252">
        <v>83</v>
      </c>
      <c r="AS252">
        <v>3671</v>
      </c>
      <c r="AT252" s="2">
        <v>250</v>
      </c>
      <c r="AU252">
        <v>3734</v>
      </c>
      <c r="AV252" s="3">
        <v>0.38364756</v>
      </c>
      <c r="AW252">
        <v>3734</v>
      </c>
      <c r="AX252" s="2">
        <v>368</v>
      </c>
      <c r="AY252">
        <v>3791</v>
      </c>
    </row>
    <row r="253" spans="34:51" x14ac:dyDescent="0.25">
      <c r="AH253">
        <v>251</v>
      </c>
      <c r="AI253">
        <v>4046</v>
      </c>
      <c r="AJ253">
        <f t="shared" si="19"/>
        <v>474.00346020761248</v>
      </c>
      <c r="AK253">
        <f t="shared" si="20"/>
        <v>1.8946029269840193E-3</v>
      </c>
      <c r="AL253">
        <f t="shared" si="21"/>
        <v>0.50309993514464924</v>
      </c>
      <c r="AQ253">
        <v>0.56470209000000005</v>
      </c>
      <c r="AR253">
        <v>62</v>
      </c>
      <c r="AS253">
        <v>3869</v>
      </c>
      <c r="AT253" s="2">
        <v>251</v>
      </c>
      <c r="AU253">
        <v>3871</v>
      </c>
      <c r="AV253" s="3">
        <v>0.97025424000000005</v>
      </c>
      <c r="AW253">
        <v>3871</v>
      </c>
      <c r="AX253" s="2">
        <v>158</v>
      </c>
      <c r="AY253">
        <v>3791</v>
      </c>
    </row>
    <row r="254" spans="34:51" x14ac:dyDescent="0.25">
      <c r="AH254">
        <v>252</v>
      </c>
      <c r="AI254">
        <v>4054</v>
      </c>
      <c r="AJ254">
        <f t="shared" si="19"/>
        <v>473.06808090774541</v>
      </c>
      <c r="AK254">
        <f t="shared" si="20"/>
        <v>1.8908641940249978E-3</v>
      </c>
      <c r="AL254">
        <f t="shared" si="21"/>
        <v>0.50499079933867419</v>
      </c>
      <c r="AQ254">
        <v>0.45486164000000001</v>
      </c>
      <c r="AR254">
        <v>243</v>
      </c>
      <c r="AS254">
        <v>3819</v>
      </c>
      <c r="AT254" s="2">
        <v>252</v>
      </c>
      <c r="AU254">
        <v>3802</v>
      </c>
      <c r="AV254" s="3">
        <v>0.29313684000000001</v>
      </c>
      <c r="AW254">
        <v>3802</v>
      </c>
      <c r="AX254" s="2">
        <v>173</v>
      </c>
      <c r="AY254">
        <v>3792</v>
      </c>
    </row>
    <row r="255" spans="34:51" x14ac:dyDescent="0.25">
      <c r="AH255">
        <v>253</v>
      </c>
      <c r="AI255">
        <v>4000</v>
      </c>
      <c r="AJ255">
        <f t="shared" si="19"/>
        <v>479.4545</v>
      </c>
      <c r="AK255">
        <f t="shared" si="20"/>
        <v>1.9163908606443353E-3</v>
      </c>
      <c r="AL255">
        <f t="shared" si="21"/>
        <v>0.50690719019931851</v>
      </c>
      <c r="AQ255">
        <v>0.19350165</v>
      </c>
      <c r="AR255">
        <v>379</v>
      </c>
      <c r="AS255">
        <v>3696</v>
      </c>
      <c r="AT255" s="2">
        <v>253</v>
      </c>
      <c r="AU255">
        <v>3675</v>
      </c>
      <c r="AV255" s="3">
        <v>0.76388115000000001</v>
      </c>
      <c r="AW255">
        <v>3675</v>
      </c>
      <c r="AX255" s="2">
        <v>128</v>
      </c>
      <c r="AY255">
        <v>3792</v>
      </c>
    </row>
    <row r="256" spans="34:51" x14ac:dyDescent="0.25">
      <c r="AH256">
        <v>254</v>
      </c>
      <c r="AI256">
        <v>3944</v>
      </c>
      <c r="AJ256">
        <f t="shared" si="19"/>
        <v>486.26217038539556</v>
      </c>
      <c r="AK256">
        <f t="shared" si="20"/>
        <v>1.9436012785439508E-3</v>
      </c>
      <c r="AL256">
        <f t="shared" si="21"/>
        <v>0.5088507914778625</v>
      </c>
      <c r="AQ256">
        <v>0.68772566000000002</v>
      </c>
      <c r="AR256">
        <v>73</v>
      </c>
      <c r="AS256">
        <v>3738</v>
      </c>
      <c r="AT256" s="2">
        <v>254</v>
      </c>
      <c r="AU256">
        <v>3738</v>
      </c>
      <c r="AV256" s="3">
        <v>0.97097193999999998</v>
      </c>
      <c r="AW256">
        <v>3738</v>
      </c>
      <c r="AX256" s="2">
        <v>56</v>
      </c>
      <c r="AY256">
        <v>3792</v>
      </c>
    </row>
    <row r="257" spans="34:51" x14ac:dyDescent="0.25">
      <c r="AH257">
        <v>255</v>
      </c>
      <c r="AI257">
        <v>4024</v>
      </c>
      <c r="AJ257">
        <f t="shared" si="19"/>
        <v>476.59493041749505</v>
      </c>
      <c r="AK257">
        <f t="shared" si="20"/>
        <v>1.9049610940798565E-3</v>
      </c>
      <c r="AL257">
        <f t="shared" si="21"/>
        <v>0.51075575257194239</v>
      </c>
      <c r="AQ257">
        <v>0.26212150000000001</v>
      </c>
      <c r="AR257">
        <v>214</v>
      </c>
      <c r="AS257">
        <v>3844</v>
      </c>
      <c r="AT257" s="2">
        <v>255</v>
      </c>
      <c r="AU257">
        <v>3973</v>
      </c>
      <c r="AV257" s="3">
        <v>0.67922837000000003</v>
      </c>
      <c r="AW257">
        <v>3973</v>
      </c>
      <c r="AX257" s="2">
        <v>89</v>
      </c>
      <c r="AY257">
        <v>3792</v>
      </c>
    </row>
    <row r="258" spans="34:51" x14ac:dyDescent="0.25">
      <c r="AH258">
        <v>256</v>
      </c>
      <c r="AI258">
        <v>3928</v>
      </c>
      <c r="AJ258">
        <f t="shared" si="19"/>
        <v>488.24287169042771</v>
      </c>
      <c r="AK258">
        <f t="shared" si="20"/>
        <v>1.9515181880288548E-3</v>
      </c>
      <c r="AL258">
        <f t="shared" si="21"/>
        <v>0.51270727075997125</v>
      </c>
      <c r="AQ258">
        <v>0.80523038000000002</v>
      </c>
      <c r="AR258">
        <v>80</v>
      </c>
      <c r="AS258">
        <v>3832</v>
      </c>
      <c r="AT258" s="2">
        <v>256</v>
      </c>
      <c r="AU258">
        <v>3842</v>
      </c>
      <c r="AV258" s="4">
        <v>3.3726699999999999E-3</v>
      </c>
      <c r="AW258">
        <v>3810</v>
      </c>
      <c r="AX258" s="2">
        <v>114</v>
      </c>
      <c r="AY258">
        <v>3793</v>
      </c>
    </row>
    <row r="259" spans="34:51" x14ac:dyDescent="0.25">
      <c r="AH259">
        <v>257</v>
      </c>
      <c r="AI259">
        <v>3762</v>
      </c>
      <c r="AJ259">
        <f t="shared" si="19"/>
        <v>509.78681552365765</v>
      </c>
      <c r="AK259">
        <f t="shared" si="20"/>
        <v>2.0376298358791445E-3</v>
      </c>
      <c r="AL259">
        <f t="shared" si="21"/>
        <v>0.51474490059585043</v>
      </c>
      <c r="AQ259">
        <v>6.4514580000000002E-2</v>
      </c>
      <c r="AR259">
        <v>236</v>
      </c>
      <c r="AS259">
        <v>3770</v>
      </c>
      <c r="AT259" s="2">
        <v>257</v>
      </c>
      <c r="AU259">
        <v>3707</v>
      </c>
      <c r="AV259" s="3">
        <v>0.19304639000000001</v>
      </c>
      <c r="AW259">
        <v>3707</v>
      </c>
      <c r="AX259" s="2">
        <v>273</v>
      </c>
      <c r="AY259">
        <v>3794</v>
      </c>
    </row>
    <row r="260" spans="34:51" x14ac:dyDescent="0.25">
      <c r="AH260">
        <v>258</v>
      </c>
      <c r="AI260">
        <v>3753</v>
      </c>
      <c r="AJ260">
        <f t="shared" ref="AJ260:AJ323" si="22">$AI$504/AI260</f>
        <v>511.0093258726352</v>
      </c>
      <c r="AK260">
        <f t="shared" ref="AK260:AK323" si="23">AJ260/$AJ$504</f>
        <v>2.0425162383632669E-3</v>
      </c>
      <c r="AL260">
        <f t="shared" ref="AL260:AL323" si="24">AK260+AL259</f>
        <v>0.5167874168342137</v>
      </c>
      <c r="AQ260">
        <v>0.55832946000000006</v>
      </c>
      <c r="AR260">
        <v>54</v>
      </c>
      <c r="AS260">
        <v>3731</v>
      </c>
      <c r="AT260" s="2">
        <v>258</v>
      </c>
      <c r="AU260">
        <v>3723</v>
      </c>
      <c r="AV260" s="3">
        <v>0.27173304999999998</v>
      </c>
      <c r="AW260">
        <v>3723</v>
      </c>
      <c r="AX260" s="2">
        <v>21</v>
      </c>
      <c r="AY260">
        <v>3794</v>
      </c>
    </row>
    <row r="261" spans="34:51" x14ac:dyDescent="0.25">
      <c r="AH261">
        <v>259</v>
      </c>
      <c r="AI261">
        <v>3711</v>
      </c>
      <c r="AJ261">
        <f t="shared" si="22"/>
        <v>516.79277822689301</v>
      </c>
      <c r="AK261">
        <f t="shared" si="23"/>
        <v>2.065632832815236E-3</v>
      </c>
      <c r="AL261">
        <f t="shared" si="24"/>
        <v>0.51885304966702894</v>
      </c>
      <c r="AQ261">
        <v>0.44938235999999998</v>
      </c>
      <c r="AR261">
        <v>83</v>
      </c>
      <c r="AS261">
        <v>3671</v>
      </c>
      <c r="AT261" s="2">
        <v>259</v>
      </c>
      <c r="AU261">
        <v>3834</v>
      </c>
      <c r="AV261" s="3">
        <v>0.38717455000000001</v>
      </c>
      <c r="AW261">
        <v>3834</v>
      </c>
      <c r="AX261" s="2">
        <v>249</v>
      </c>
      <c r="AY261">
        <v>3796</v>
      </c>
    </row>
    <row r="262" spans="34:51" x14ac:dyDescent="0.25">
      <c r="AH262">
        <v>260</v>
      </c>
      <c r="AI262">
        <v>3835</v>
      </c>
      <c r="AJ262">
        <f t="shared" si="22"/>
        <v>500.08292046936117</v>
      </c>
      <c r="AK262">
        <f t="shared" si="23"/>
        <v>1.9988431401766213E-3</v>
      </c>
      <c r="AL262">
        <f t="shared" si="24"/>
        <v>0.52085189280720556</v>
      </c>
      <c r="AQ262">
        <v>9.6230979999999994E-2</v>
      </c>
      <c r="AR262">
        <v>31</v>
      </c>
      <c r="AS262">
        <v>3817</v>
      </c>
      <c r="AT262" s="2">
        <v>260</v>
      </c>
      <c r="AU262">
        <v>3926</v>
      </c>
      <c r="AV262" s="3">
        <v>0.92384564999999996</v>
      </c>
      <c r="AW262">
        <v>3926</v>
      </c>
      <c r="AX262" s="2">
        <v>294</v>
      </c>
      <c r="AY262">
        <v>3797</v>
      </c>
    </row>
    <row r="263" spans="34:51" x14ac:dyDescent="0.25">
      <c r="AH263">
        <v>261</v>
      </c>
      <c r="AI263">
        <v>3802</v>
      </c>
      <c r="AJ263">
        <f t="shared" si="22"/>
        <v>504.42346133613887</v>
      </c>
      <c r="AK263">
        <f t="shared" si="23"/>
        <v>2.0161923836342298E-3</v>
      </c>
      <c r="AL263">
        <f t="shared" si="24"/>
        <v>0.52286808519083983</v>
      </c>
      <c r="AQ263">
        <v>0.88316315000000001</v>
      </c>
      <c r="AR263">
        <v>120</v>
      </c>
      <c r="AS263">
        <v>3889</v>
      </c>
      <c r="AT263" s="2">
        <v>261</v>
      </c>
      <c r="AU263">
        <v>3676</v>
      </c>
      <c r="AV263" s="3">
        <v>0.85234553000000002</v>
      </c>
      <c r="AW263">
        <v>3676</v>
      </c>
      <c r="AX263" s="2">
        <v>295</v>
      </c>
      <c r="AY263">
        <v>3798</v>
      </c>
    </row>
    <row r="264" spans="34:51" x14ac:dyDescent="0.25">
      <c r="AH264">
        <v>262</v>
      </c>
      <c r="AI264">
        <v>3956</v>
      </c>
      <c r="AJ264">
        <f t="shared" si="22"/>
        <v>484.78715874620826</v>
      </c>
      <c r="AK264">
        <f t="shared" si="23"/>
        <v>1.9377056224917444E-3</v>
      </c>
      <c r="AL264">
        <f t="shared" si="24"/>
        <v>0.52480579081333156</v>
      </c>
      <c r="AQ264">
        <v>0.27743255999999999</v>
      </c>
      <c r="AR264">
        <v>429</v>
      </c>
      <c r="AS264">
        <v>3672</v>
      </c>
      <c r="AT264" s="2">
        <v>262</v>
      </c>
      <c r="AU264">
        <v>3717</v>
      </c>
      <c r="AV264" s="3">
        <v>0.88880634000000003</v>
      </c>
      <c r="AW264">
        <v>3717</v>
      </c>
      <c r="AX264" s="2">
        <v>47</v>
      </c>
      <c r="AY264">
        <v>3798</v>
      </c>
    </row>
    <row r="265" spans="34:51" x14ac:dyDescent="0.25">
      <c r="AH265">
        <v>263</v>
      </c>
      <c r="AI265">
        <v>3820</v>
      </c>
      <c r="AJ265">
        <f t="shared" si="22"/>
        <v>502.04659685863874</v>
      </c>
      <c r="AK265">
        <f t="shared" si="23"/>
        <v>2.0066920006746969E-3</v>
      </c>
      <c r="AL265">
        <f t="shared" si="24"/>
        <v>0.52681248281400628</v>
      </c>
      <c r="AQ265">
        <v>1.6926589999999998E-2</v>
      </c>
      <c r="AR265">
        <v>319</v>
      </c>
      <c r="AS265">
        <v>3804</v>
      </c>
      <c r="AT265" s="2">
        <v>263</v>
      </c>
      <c r="AU265">
        <v>3548</v>
      </c>
      <c r="AV265" s="4">
        <v>1.04254E-3</v>
      </c>
      <c r="AW265">
        <v>3582</v>
      </c>
      <c r="AX265" s="2">
        <v>131</v>
      </c>
      <c r="AY265">
        <v>3799</v>
      </c>
    </row>
    <row r="266" spans="34:51" x14ac:dyDescent="0.25">
      <c r="AH266">
        <v>264</v>
      </c>
      <c r="AI266">
        <v>3753</v>
      </c>
      <c r="AJ266">
        <f t="shared" si="22"/>
        <v>511.0093258726352</v>
      </c>
      <c r="AK266">
        <f t="shared" si="23"/>
        <v>2.0425162383632669E-3</v>
      </c>
      <c r="AL266">
        <f t="shared" si="24"/>
        <v>0.52885499905236955</v>
      </c>
      <c r="AQ266">
        <v>0.46903777000000002</v>
      </c>
      <c r="AR266">
        <v>340</v>
      </c>
      <c r="AS266">
        <v>3723</v>
      </c>
      <c r="AT266" s="2">
        <v>264</v>
      </c>
      <c r="AU266">
        <v>3768</v>
      </c>
      <c r="AV266" s="3">
        <v>0.14225125</v>
      </c>
      <c r="AW266">
        <v>3768</v>
      </c>
      <c r="AX266" s="2">
        <v>53</v>
      </c>
      <c r="AY266">
        <v>3800</v>
      </c>
    </row>
    <row r="267" spans="34:51" x14ac:dyDescent="0.25">
      <c r="AH267">
        <v>265</v>
      </c>
      <c r="AI267">
        <v>3853</v>
      </c>
      <c r="AJ267">
        <f t="shared" si="22"/>
        <v>497.7466908902154</v>
      </c>
      <c r="AK267">
        <f t="shared" si="23"/>
        <v>1.9895051758570832E-3</v>
      </c>
      <c r="AL267">
        <f t="shared" si="24"/>
        <v>0.5308445042282266</v>
      </c>
      <c r="AQ267">
        <v>0.78842442999999995</v>
      </c>
      <c r="AR267">
        <v>107</v>
      </c>
      <c r="AS267">
        <v>3854</v>
      </c>
      <c r="AT267" s="2">
        <v>265</v>
      </c>
      <c r="AU267">
        <v>3836</v>
      </c>
      <c r="AV267" s="3">
        <v>0.91282695999999997</v>
      </c>
      <c r="AW267">
        <v>3836</v>
      </c>
      <c r="AX267" s="2">
        <v>241</v>
      </c>
      <c r="AY267">
        <v>3801</v>
      </c>
    </row>
    <row r="268" spans="34:51" x14ac:dyDescent="0.25">
      <c r="AH268">
        <v>266</v>
      </c>
      <c r="AI268">
        <v>3907</v>
      </c>
      <c r="AJ268">
        <f t="shared" si="22"/>
        <v>490.86716150499103</v>
      </c>
      <c r="AK268">
        <f t="shared" si="23"/>
        <v>1.9620075358529158E-3</v>
      </c>
      <c r="AL268">
        <f t="shared" si="24"/>
        <v>0.53280651176407956</v>
      </c>
      <c r="AQ268">
        <v>0.74060380000000003</v>
      </c>
      <c r="AR268">
        <v>498</v>
      </c>
      <c r="AS268">
        <v>3748</v>
      </c>
      <c r="AT268" s="2">
        <v>266</v>
      </c>
      <c r="AU268">
        <v>3789</v>
      </c>
      <c r="AV268" s="3">
        <v>0.43526733000000001</v>
      </c>
      <c r="AW268">
        <v>3789</v>
      </c>
      <c r="AX268" s="2">
        <v>207</v>
      </c>
      <c r="AY268">
        <v>3801</v>
      </c>
    </row>
    <row r="269" spans="34:51" x14ac:dyDescent="0.25">
      <c r="AH269">
        <v>267</v>
      </c>
      <c r="AI269">
        <v>3984</v>
      </c>
      <c r="AJ269">
        <f t="shared" si="22"/>
        <v>481.38002008032129</v>
      </c>
      <c r="AK269">
        <f t="shared" si="23"/>
        <v>1.9240872094822645E-3</v>
      </c>
      <c r="AL269">
        <f t="shared" si="24"/>
        <v>0.53473059897356179</v>
      </c>
      <c r="AQ269">
        <v>0.34054762</v>
      </c>
      <c r="AR269">
        <v>397</v>
      </c>
      <c r="AS269">
        <v>3597</v>
      </c>
      <c r="AT269" s="2">
        <v>267</v>
      </c>
      <c r="AU269">
        <v>3627</v>
      </c>
      <c r="AV269" s="3">
        <v>0.55294376999999995</v>
      </c>
      <c r="AW269">
        <v>3627</v>
      </c>
      <c r="AX269" s="2">
        <v>336</v>
      </c>
      <c r="AY269">
        <v>3801</v>
      </c>
    </row>
    <row r="270" spans="34:51" x14ac:dyDescent="0.25">
      <c r="AH270">
        <v>268</v>
      </c>
      <c r="AI270">
        <v>3789</v>
      </c>
      <c r="AJ270">
        <f t="shared" si="22"/>
        <v>506.15413037740831</v>
      </c>
      <c r="AK270">
        <f t="shared" si="23"/>
        <v>2.0231099083075593E-3</v>
      </c>
      <c r="AL270">
        <f t="shared" si="24"/>
        <v>0.53675370888186935</v>
      </c>
      <c r="AQ270">
        <v>0.60877037000000001</v>
      </c>
      <c r="AR270">
        <v>456</v>
      </c>
      <c r="AS270">
        <v>3606</v>
      </c>
      <c r="AT270" s="2">
        <v>268</v>
      </c>
      <c r="AU270">
        <v>3578</v>
      </c>
      <c r="AV270" s="3">
        <v>0.58242178</v>
      </c>
      <c r="AW270">
        <v>3578</v>
      </c>
      <c r="AX270" s="2">
        <v>398</v>
      </c>
      <c r="AY270">
        <v>3802</v>
      </c>
    </row>
    <row r="271" spans="34:51" x14ac:dyDescent="0.25">
      <c r="AH271">
        <v>269</v>
      </c>
      <c r="AI271">
        <v>3916</v>
      </c>
      <c r="AJ271">
        <f t="shared" si="22"/>
        <v>489.73901940755871</v>
      </c>
      <c r="AK271">
        <f t="shared" si="23"/>
        <v>1.9574983254794028E-3</v>
      </c>
      <c r="AL271">
        <f t="shared" si="24"/>
        <v>0.53871120720734877</v>
      </c>
      <c r="AQ271">
        <v>0.28743953</v>
      </c>
      <c r="AR271">
        <v>243</v>
      </c>
      <c r="AS271">
        <v>3819</v>
      </c>
      <c r="AT271" s="2">
        <v>269</v>
      </c>
      <c r="AU271">
        <v>3940</v>
      </c>
      <c r="AV271" s="4">
        <v>3.3965769999999999E-2</v>
      </c>
      <c r="AW271">
        <v>3908</v>
      </c>
      <c r="AX271" s="2">
        <v>384</v>
      </c>
      <c r="AY271">
        <v>3802</v>
      </c>
    </row>
    <row r="272" spans="34:51" x14ac:dyDescent="0.25">
      <c r="AH272">
        <v>270</v>
      </c>
      <c r="AI272">
        <v>3929</v>
      </c>
      <c r="AJ272">
        <f t="shared" si="22"/>
        <v>488.11860524306439</v>
      </c>
      <c r="AK272">
        <f t="shared" si="23"/>
        <v>1.9510214921296366E-3</v>
      </c>
      <c r="AL272">
        <f t="shared" si="24"/>
        <v>0.54066222869947844</v>
      </c>
      <c r="AQ272">
        <v>0.73891985000000004</v>
      </c>
      <c r="AR272">
        <v>44</v>
      </c>
      <c r="AS272">
        <v>3889</v>
      </c>
      <c r="AT272" s="2">
        <v>270</v>
      </c>
      <c r="AU272">
        <v>3841</v>
      </c>
      <c r="AV272" s="4">
        <v>3.7992239999999997E-2</v>
      </c>
      <c r="AW272">
        <v>3838</v>
      </c>
      <c r="AX272" s="2">
        <v>6</v>
      </c>
      <c r="AY272">
        <v>3802</v>
      </c>
    </row>
    <row r="273" spans="34:51" x14ac:dyDescent="0.25">
      <c r="AH273">
        <v>271</v>
      </c>
      <c r="AI273">
        <v>3876</v>
      </c>
      <c r="AJ273">
        <f t="shared" si="22"/>
        <v>494.79308565531477</v>
      </c>
      <c r="AK273">
        <f t="shared" si="23"/>
        <v>1.9776995465885816E-3</v>
      </c>
      <c r="AL273">
        <f t="shared" si="24"/>
        <v>0.54263992824606699</v>
      </c>
      <c r="AQ273">
        <v>0.10951548999999999</v>
      </c>
      <c r="AR273">
        <v>362</v>
      </c>
      <c r="AS273">
        <v>3808</v>
      </c>
      <c r="AT273" s="2">
        <v>271</v>
      </c>
      <c r="AU273">
        <v>3710</v>
      </c>
      <c r="AV273" s="3">
        <v>0.68190198999999996</v>
      </c>
      <c r="AW273">
        <v>3710</v>
      </c>
      <c r="AX273" s="2">
        <v>414</v>
      </c>
      <c r="AY273">
        <v>3802</v>
      </c>
    </row>
    <row r="274" spans="34:51" x14ac:dyDescent="0.25">
      <c r="AH274">
        <v>272</v>
      </c>
      <c r="AI274">
        <v>3642</v>
      </c>
      <c r="AJ274">
        <f t="shared" si="22"/>
        <v>526.58374519494782</v>
      </c>
      <c r="AK274">
        <f t="shared" si="23"/>
        <v>2.1047675569954259E-3</v>
      </c>
      <c r="AL274">
        <f t="shared" si="24"/>
        <v>0.5447446958030624</v>
      </c>
      <c r="AQ274">
        <v>0.26011872000000003</v>
      </c>
      <c r="AR274">
        <v>245</v>
      </c>
      <c r="AS274">
        <v>3806</v>
      </c>
      <c r="AT274" s="2">
        <v>272</v>
      </c>
      <c r="AU274">
        <v>3801</v>
      </c>
      <c r="AV274" s="3">
        <v>0.88158225999999995</v>
      </c>
      <c r="AW274">
        <v>3801</v>
      </c>
      <c r="AX274" s="2">
        <v>82</v>
      </c>
      <c r="AY274">
        <v>3803</v>
      </c>
    </row>
    <row r="275" spans="34:51" x14ac:dyDescent="0.25">
      <c r="AH275">
        <v>273</v>
      </c>
      <c r="AI275">
        <v>3713</v>
      </c>
      <c r="AJ275">
        <f t="shared" si="22"/>
        <v>516.51440883382713</v>
      </c>
      <c r="AK275">
        <f t="shared" si="23"/>
        <v>2.0645201838344579E-3</v>
      </c>
      <c r="AL275">
        <f t="shared" si="24"/>
        <v>0.5468092159868968</v>
      </c>
      <c r="AQ275">
        <v>0.70863860999999995</v>
      </c>
      <c r="AR275">
        <v>55</v>
      </c>
      <c r="AS275">
        <v>3847</v>
      </c>
      <c r="AT275" s="2">
        <v>273</v>
      </c>
      <c r="AU275">
        <v>3702</v>
      </c>
      <c r="AV275" s="3">
        <v>0.57837886000000005</v>
      </c>
      <c r="AW275">
        <v>3702</v>
      </c>
      <c r="AX275" s="2">
        <v>483</v>
      </c>
      <c r="AY275">
        <v>3803</v>
      </c>
    </row>
    <row r="276" spans="34:51" x14ac:dyDescent="0.25">
      <c r="AH276">
        <v>274</v>
      </c>
      <c r="AI276">
        <v>3784</v>
      </c>
      <c r="AJ276">
        <f t="shared" si="22"/>
        <v>506.82293868921778</v>
      </c>
      <c r="AK276">
        <f t="shared" si="23"/>
        <v>2.0257831507868242E-3</v>
      </c>
      <c r="AL276">
        <f t="shared" si="24"/>
        <v>0.54883499913768363</v>
      </c>
      <c r="AQ276">
        <v>0.59959017999999997</v>
      </c>
      <c r="AR276">
        <v>470</v>
      </c>
      <c r="AS276">
        <v>3655</v>
      </c>
      <c r="AT276" s="2">
        <v>274</v>
      </c>
      <c r="AU276">
        <v>3808</v>
      </c>
      <c r="AV276" s="3">
        <v>0.53797686</v>
      </c>
      <c r="AW276">
        <v>3808</v>
      </c>
      <c r="AX276" s="2">
        <v>251</v>
      </c>
      <c r="AY276">
        <v>3805</v>
      </c>
    </row>
    <row r="277" spans="34:51" x14ac:dyDescent="0.25">
      <c r="AH277">
        <v>275</v>
      </c>
      <c r="AI277">
        <v>3704</v>
      </c>
      <c r="AJ277">
        <f t="shared" si="22"/>
        <v>517.76943844492439</v>
      </c>
      <c r="AK277">
        <f t="shared" si="23"/>
        <v>2.0695365665705564E-3</v>
      </c>
      <c r="AL277">
        <f t="shared" si="24"/>
        <v>0.55090453570425424</v>
      </c>
      <c r="AQ277">
        <v>0.40470177000000002</v>
      </c>
      <c r="AR277">
        <v>424</v>
      </c>
      <c r="AS277">
        <v>3730</v>
      </c>
      <c r="AT277" s="2">
        <v>275</v>
      </c>
      <c r="AU277">
        <v>3843</v>
      </c>
      <c r="AV277" s="3">
        <v>0.69671947000000001</v>
      </c>
      <c r="AW277">
        <v>3843</v>
      </c>
      <c r="AX277" s="2">
        <v>380</v>
      </c>
      <c r="AY277">
        <v>3805</v>
      </c>
    </row>
    <row r="278" spans="34:51" x14ac:dyDescent="0.25">
      <c r="AH278">
        <v>276</v>
      </c>
      <c r="AI278">
        <v>3962</v>
      </c>
      <c r="AJ278">
        <f t="shared" si="22"/>
        <v>484.05300353356893</v>
      </c>
      <c r="AK278">
        <f t="shared" si="23"/>
        <v>1.9347711869200763E-3</v>
      </c>
      <c r="AL278">
        <f t="shared" si="24"/>
        <v>0.55283930689117433</v>
      </c>
      <c r="AQ278">
        <v>0.99296808000000003</v>
      </c>
      <c r="AR278">
        <v>425</v>
      </c>
      <c r="AS278">
        <v>3752</v>
      </c>
      <c r="AT278" s="2">
        <v>276</v>
      </c>
      <c r="AU278">
        <v>3728</v>
      </c>
      <c r="AV278" s="3">
        <v>0.54538178000000004</v>
      </c>
      <c r="AW278">
        <v>3728</v>
      </c>
      <c r="AX278" s="2">
        <v>136</v>
      </c>
      <c r="AY278">
        <v>3805</v>
      </c>
    </row>
    <row r="279" spans="34:51" x14ac:dyDescent="0.25">
      <c r="AH279">
        <v>277</v>
      </c>
      <c r="AI279">
        <v>4080</v>
      </c>
      <c r="AJ279">
        <f t="shared" si="22"/>
        <v>470.05343137254903</v>
      </c>
      <c r="AK279">
        <f t="shared" si="23"/>
        <v>1.8788145692591523E-3</v>
      </c>
      <c r="AL279">
        <f t="shared" si="24"/>
        <v>0.55471812146043353</v>
      </c>
      <c r="AQ279">
        <v>0.90486591999999999</v>
      </c>
      <c r="AR279">
        <v>202</v>
      </c>
      <c r="AS279">
        <v>3844</v>
      </c>
      <c r="AT279" s="2">
        <v>277</v>
      </c>
      <c r="AU279">
        <v>3646</v>
      </c>
      <c r="AV279" s="3">
        <v>0.71222441999999997</v>
      </c>
      <c r="AW279">
        <v>3646</v>
      </c>
      <c r="AX279" s="2">
        <v>358</v>
      </c>
      <c r="AY279">
        <v>3806</v>
      </c>
    </row>
    <row r="280" spans="34:51" x14ac:dyDescent="0.25">
      <c r="AH280">
        <v>278</v>
      </c>
      <c r="AI280">
        <v>3753</v>
      </c>
      <c r="AJ280">
        <f t="shared" si="22"/>
        <v>511.0093258726352</v>
      </c>
      <c r="AK280">
        <f t="shared" si="23"/>
        <v>2.0425162383632669E-3</v>
      </c>
      <c r="AL280">
        <f t="shared" si="24"/>
        <v>0.5567606376987968</v>
      </c>
      <c r="AQ280">
        <v>7.6582070000000002E-2</v>
      </c>
      <c r="AR280">
        <v>309</v>
      </c>
      <c r="AS280">
        <v>3687</v>
      </c>
      <c r="AT280" s="2">
        <v>278</v>
      </c>
      <c r="AU280">
        <v>3820</v>
      </c>
      <c r="AV280" s="4">
        <v>1.070774E-2</v>
      </c>
      <c r="AW280">
        <v>3891</v>
      </c>
      <c r="AX280" s="2">
        <v>66</v>
      </c>
      <c r="AY280">
        <v>3806</v>
      </c>
    </row>
    <row r="281" spans="34:51" x14ac:dyDescent="0.25">
      <c r="AH281">
        <v>279</v>
      </c>
      <c r="AI281">
        <v>3744</v>
      </c>
      <c r="AJ281">
        <f t="shared" si="22"/>
        <v>512.23771367521363</v>
      </c>
      <c r="AK281">
        <f t="shared" si="23"/>
        <v>2.0474261331670249E-3</v>
      </c>
      <c r="AL281">
        <f t="shared" si="24"/>
        <v>0.5588080638319638</v>
      </c>
      <c r="AQ281">
        <v>2.670461E-2</v>
      </c>
      <c r="AR281">
        <v>372</v>
      </c>
      <c r="AS281">
        <v>3904</v>
      </c>
      <c r="AT281" s="2">
        <v>279</v>
      </c>
      <c r="AU281">
        <v>3869</v>
      </c>
      <c r="AV281" s="3">
        <v>0.63281697000000003</v>
      </c>
      <c r="AW281">
        <v>3869</v>
      </c>
      <c r="AX281" s="2">
        <v>117</v>
      </c>
      <c r="AY281">
        <v>3807</v>
      </c>
    </row>
    <row r="282" spans="34:51" x14ac:dyDescent="0.25">
      <c r="AH282">
        <v>280</v>
      </c>
      <c r="AI282">
        <v>3851</v>
      </c>
      <c r="AJ282">
        <f t="shared" si="22"/>
        <v>498.00519345624514</v>
      </c>
      <c r="AK282">
        <f t="shared" si="23"/>
        <v>1.9905384166651109E-3</v>
      </c>
      <c r="AL282">
        <f t="shared" si="24"/>
        <v>0.56079860224862887</v>
      </c>
      <c r="AQ282">
        <v>0.21802402000000001</v>
      </c>
      <c r="AR282">
        <v>488</v>
      </c>
      <c r="AS282">
        <v>3938</v>
      </c>
      <c r="AT282" s="2">
        <v>280</v>
      </c>
      <c r="AU282">
        <v>3935</v>
      </c>
      <c r="AV282" s="3">
        <v>6.4603919999999995E-2</v>
      </c>
      <c r="AW282">
        <v>3935</v>
      </c>
      <c r="AX282" s="2">
        <v>123</v>
      </c>
      <c r="AY282">
        <v>3807</v>
      </c>
    </row>
    <row r="283" spans="34:51" x14ac:dyDescent="0.25">
      <c r="AH283">
        <v>281</v>
      </c>
      <c r="AI283">
        <v>3770</v>
      </c>
      <c r="AJ283">
        <f t="shared" si="22"/>
        <v>508.7050397877984</v>
      </c>
      <c r="AK283">
        <f t="shared" si="23"/>
        <v>2.0333059529382869E-3</v>
      </c>
      <c r="AL283">
        <f t="shared" si="24"/>
        <v>0.56283190820156714</v>
      </c>
      <c r="AQ283">
        <v>0.20650476000000001</v>
      </c>
      <c r="AR283">
        <v>207</v>
      </c>
      <c r="AS283">
        <v>3791</v>
      </c>
      <c r="AT283" s="2">
        <v>281</v>
      </c>
      <c r="AU283">
        <v>3758</v>
      </c>
      <c r="AV283" s="3">
        <v>0.54701405999999997</v>
      </c>
      <c r="AW283">
        <v>3758</v>
      </c>
      <c r="AX283" s="2">
        <v>240</v>
      </c>
      <c r="AY283">
        <v>3807</v>
      </c>
    </row>
    <row r="284" spans="34:51" x14ac:dyDescent="0.25">
      <c r="AH284">
        <v>282</v>
      </c>
      <c r="AI284">
        <v>3788</v>
      </c>
      <c r="AJ284">
        <f t="shared" si="22"/>
        <v>506.28775079197464</v>
      </c>
      <c r="AK284">
        <f t="shared" si="23"/>
        <v>2.0236439922326666E-3</v>
      </c>
      <c r="AL284">
        <f t="shared" si="24"/>
        <v>0.56485555219379979</v>
      </c>
      <c r="AQ284">
        <v>0.49124562999999999</v>
      </c>
      <c r="AR284">
        <v>264</v>
      </c>
      <c r="AS284">
        <v>3753</v>
      </c>
      <c r="AT284" s="2">
        <v>282</v>
      </c>
      <c r="AU284">
        <v>3753</v>
      </c>
      <c r="AV284" s="3">
        <v>0.20397066999999999</v>
      </c>
      <c r="AW284">
        <v>3753</v>
      </c>
      <c r="AX284" s="2">
        <v>7</v>
      </c>
      <c r="AY284">
        <v>3808</v>
      </c>
    </row>
    <row r="285" spans="34:51" x14ac:dyDescent="0.25">
      <c r="AH285">
        <v>283</v>
      </c>
      <c r="AI285">
        <v>3978</v>
      </c>
      <c r="AJ285">
        <f t="shared" si="22"/>
        <v>482.10608345902466</v>
      </c>
      <c r="AK285">
        <f t="shared" si="23"/>
        <v>1.9269893018042589E-3</v>
      </c>
      <c r="AL285">
        <f t="shared" si="24"/>
        <v>0.56678254149560403</v>
      </c>
      <c r="AQ285">
        <v>7.3973720000000007E-2</v>
      </c>
      <c r="AR285">
        <v>142</v>
      </c>
      <c r="AS285">
        <v>3721</v>
      </c>
      <c r="AT285" s="2">
        <v>283</v>
      </c>
      <c r="AU285">
        <v>3633</v>
      </c>
      <c r="AV285" s="3">
        <v>0.60803980000000002</v>
      </c>
      <c r="AW285">
        <v>3633</v>
      </c>
      <c r="AX285" s="2">
        <v>28</v>
      </c>
      <c r="AY285">
        <v>3810</v>
      </c>
    </row>
    <row r="286" spans="34:51" x14ac:dyDescent="0.25">
      <c r="AH286">
        <v>284</v>
      </c>
      <c r="AI286">
        <v>3966</v>
      </c>
      <c r="AJ286">
        <f t="shared" si="22"/>
        <v>483.56480080685827</v>
      </c>
      <c r="AK286">
        <f t="shared" si="23"/>
        <v>1.9328198291924713E-3</v>
      </c>
      <c r="AL286">
        <f t="shared" si="24"/>
        <v>0.5687153613247965</v>
      </c>
      <c r="AQ286">
        <v>0.45243739999999999</v>
      </c>
      <c r="AR286">
        <v>154</v>
      </c>
      <c r="AS286">
        <v>3734</v>
      </c>
      <c r="AT286" s="2">
        <v>284</v>
      </c>
      <c r="AU286">
        <v>3726</v>
      </c>
      <c r="AV286" s="3">
        <v>0.20851552000000001</v>
      </c>
      <c r="AW286">
        <v>3726</v>
      </c>
      <c r="AX286" s="2">
        <v>37</v>
      </c>
      <c r="AY286">
        <v>3810</v>
      </c>
    </row>
    <row r="287" spans="34:51" x14ac:dyDescent="0.25">
      <c r="AH287">
        <v>285</v>
      </c>
      <c r="AI287">
        <v>3868</v>
      </c>
      <c r="AJ287">
        <f t="shared" si="22"/>
        <v>495.81644260599791</v>
      </c>
      <c r="AK287">
        <f t="shared" si="23"/>
        <v>1.9817899282774925E-3</v>
      </c>
      <c r="AL287">
        <f t="shared" si="24"/>
        <v>0.57069715125307396</v>
      </c>
      <c r="AQ287">
        <v>0.62460249999999995</v>
      </c>
      <c r="AR287">
        <v>306</v>
      </c>
      <c r="AS287">
        <v>3817</v>
      </c>
      <c r="AT287" s="2">
        <v>285</v>
      </c>
      <c r="AU287">
        <v>3914</v>
      </c>
      <c r="AV287" s="3">
        <v>0.15653902</v>
      </c>
      <c r="AW287">
        <v>3914</v>
      </c>
      <c r="AX287" s="2">
        <v>91</v>
      </c>
      <c r="AY287">
        <v>3810</v>
      </c>
    </row>
    <row r="288" spans="34:51" x14ac:dyDescent="0.25">
      <c r="AH288">
        <v>286</v>
      </c>
      <c r="AI288">
        <v>3859</v>
      </c>
      <c r="AJ288">
        <f t="shared" si="22"/>
        <v>496.9727908784659</v>
      </c>
      <c r="AK288">
        <f t="shared" si="23"/>
        <v>1.9864118793929365E-3</v>
      </c>
      <c r="AL288">
        <f t="shared" si="24"/>
        <v>0.57268356313246693</v>
      </c>
      <c r="AQ288">
        <v>0.12293875</v>
      </c>
      <c r="AR288">
        <v>86</v>
      </c>
      <c r="AS288">
        <v>3643</v>
      </c>
      <c r="AT288" s="2">
        <v>286</v>
      </c>
      <c r="AU288">
        <v>3660</v>
      </c>
      <c r="AV288" s="3">
        <v>0.50161648000000003</v>
      </c>
      <c r="AW288">
        <v>3660</v>
      </c>
      <c r="AX288" s="2">
        <v>442</v>
      </c>
      <c r="AY288">
        <v>3811</v>
      </c>
    </row>
    <row r="289" spans="34:51" x14ac:dyDescent="0.25">
      <c r="AH289">
        <v>287</v>
      </c>
      <c r="AI289">
        <v>3891</v>
      </c>
      <c r="AJ289">
        <f t="shared" si="22"/>
        <v>492.88563351323569</v>
      </c>
      <c r="AK289">
        <f t="shared" si="23"/>
        <v>1.9700754157227812E-3</v>
      </c>
      <c r="AL289">
        <f t="shared" si="24"/>
        <v>0.57465363854818974</v>
      </c>
      <c r="AQ289">
        <v>0.77093535999999996</v>
      </c>
      <c r="AR289">
        <v>160</v>
      </c>
      <c r="AS289">
        <v>3761</v>
      </c>
      <c r="AT289" s="2">
        <v>287</v>
      </c>
      <c r="AU289">
        <v>3739</v>
      </c>
      <c r="AV289" s="3">
        <v>0.58644026999999999</v>
      </c>
      <c r="AW289">
        <v>3739</v>
      </c>
      <c r="AX289" s="2">
        <v>282</v>
      </c>
      <c r="AY289">
        <v>3811</v>
      </c>
    </row>
    <row r="290" spans="34:51" x14ac:dyDescent="0.25">
      <c r="AH290">
        <v>288</v>
      </c>
      <c r="AI290">
        <v>3935</v>
      </c>
      <c r="AJ290">
        <f t="shared" si="22"/>
        <v>487.37433290978402</v>
      </c>
      <c r="AK290">
        <f t="shared" si="23"/>
        <v>1.9480466181899217E-3</v>
      </c>
      <c r="AL290">
        <f t="shared" si="24"/>
        <v>0.57660168516637966</v>
      </c>
      <c r="AQ290">
        <v>0.83542943000000003</v>
      </c>
      <c r="AR290">
        <v>31</v>
      </c>
      <c r="AS290">
        <v>3817</v>
      </c>
      <c r="AT290" s="2">
        <v>288</v>
      </c>
      <c r="AU290">
        <v>3814</v>
      </c>
      <c r="AV290" s="3">
        <v>0.90930045000000004</v>
      </c>
      <c r="AW290">
        <v>3814</v>
      </c>
      <c r="AX290" s="2">
        <v>370</v>
      </c>
      <c r="AY290">
        <v>3811</v>
      </c>
    </row>
    <row r="291" spans="34:51" x14ac:dyDescent="0.25">
      <c r="AH291">
        <v>289</v>
      </c>
      <c r="AI291">
        <v>3810</v>
      </c>
      <c r="AJ291">
        <f t="shared" si="22"/>
        <v>503.36430446194225</v>
      </c>
      <c r="AK291">
        <f t="shared" si="23"/>
        <v>2.0119589088129506E-3</v>
      </c>
      <c r="AL291">
        <f t="shared" si="24"/>
        <v>0.57861364407519267</v>
      </c>
      <c r="AQ291">
        <v>0.30399555</v>
      </c>
      <c r="AR291">
        <v>96</v>
      </c>
      <c r="AS291">
        <v>3727</v>
      </c>
      <c r="AT291" s="2">
        <v>289</v>
      </c>
      <c r="AU291">
        <v>3750</v>
      </c>
      <c r="AV291" s="3">
        <v>0.39622527000000002</v>
      </c>
      <c r="AW291">
        <v>3750</v>
      </c>
      <c r="AX291" s="2">
        <v>391</v>
      </c>
      <c r="AY291">
        <v>3813</v>
      </c>
    </row>
    <row r="292" spans="34:51" x14ac:dyDescent="0.25">
      <c r="AH292">
        <v>290</v>
      </c>
      <c r="AI292">
        <v>3807</v>
      </c>
      <c r="AJ292">
        <f t="shared" si="22"/>
        <v>503.76096664039926</v>
      </c>
      <c r="AK292">
        <f t="shared" si="23"/>
        <v>2.0135443768261995E-3</v>
      </c>
      <c r="AL292">
        <f t="shared" si="24"/>
        <v>0.58062718845201888</v>
      </c>
      <c r="AQ292">
        <v>0.84965217000000004</v>
      </c>
      <c r="AR292">
        <v>436</v>
      </c>
      <c r="AS292">
        <v>3783</v>
      </c>
      <c r="AT292" s="2">
        <v>290</v>
      </c>
      <c r="AU292">
        <v>3775</v>
      </c>
      <c r="AV292" s="4">
        <v>6.4346799999999999E-3</v>
      </c>
      <c r="AW292">
        <v>3730</v>
      </c>
      <c r="AX292" s="2">
        <v>407</v>
      </c>
      <c r="AY292">
        <v>3813</v>
      </c>
    </row>
    <row r="293" spans="34:51" x14ac:dyDescent="0.25">
      <c r="AH293">
        <v>291</v>
      </c>
      <c r="AI293">
        <v>3948</v>
      </c>
      <c r="AJ293">
        <f t="shared" si="22"/>
        <v>485.76950354609932</v>
      </c>
      <c r="AK293">
        <f t="shared" si="23"/>
        <v>1.9416320776538354E-3</v>
      </c>
      <c r="AL293">
        <f t="shared" si="24"/>
        <v>0.58256882052967274</v>
      </c>
      <c r="AQ293">
        <v>0.54611737000000005</v>
      </c>
      <c r="AR293">
        <v>33</v>
      </c>
      <c r="AS293">
        <v>3806</v>
      </c>
      <c r="AT293" s="2">
        <v>291</v>
      </c>
      <c r="AU293">
        <v>3729</v>
      </c>
      <c r="AV293" s="3">
        <v>0.13210063999999999</v>
      </c>
      <c r="AW293">
        <v>3729</v>
      </c>
      <c r="AX293" s="2">
        <v>59</v>
      </c>
      <c r="AY293">
        <v>3813</v>
      </c>
    </row>
    <row r="294" spans="34:51" x14ac:dyDescent="0.25">
      <c r="AH294">
        <v>292</v>
      </c>
      <c r="AI294">
        <v>3851</v>
      </c>
      <c r="AJ294">
        <f t="shared" si="22"/>
        <v>498.00519345624514</v>
      </c>
      <c r="AK294">
        <f t="shared" si="23"/>
        <v>1.9905384166651109E-3</v>
      </c>
      <c r="AL294">
        <f t="shared" si="24"/>
        <v>0.58455935894633781</v>
      </c>
      <c r="AQ294">
        <v>0.89391661</v>
      </c>
      <c r="AR294">
        <v>250</v>
      </c>
      <c r="AS294">
        <v>3788</v>
      </c>
      <c r="AT294" s="2">
        <v>292</v>
      </c>
      <c r="AU294">
        <v>3774</v>
      </c>
      <c r="AV294" s="3">
        <v>0.93284177999999995</v>
      </c>
      <c r="AW294">
        <v>3774</v>
      </c>
      <c r="AX294" s="2">
        <v>500</v>
      </c>
      <c r="AY294">
        <v>3814</v>
      </c>
    </row>
    <row r="295" spans="34:51" x14ac:dyDescent="0.25">
      <c r="AH295">
        <v>293</v>
      </c>
      <c r="AI295">
        <v>4046</v>
      </c>
      <c r="AJ295">
        <f t="shared" si="22"/>
        <v>474.00346020761248</v>
      </c>
      <c r="AK295">
        <f t="shared" si="23"/>
        <v>1.8946029269840193E-3</v>
      </c>
      <c r="AL295">
        <f t="shared" si="24"/>
        <v>0.58645396187332188</v>
      </c>
      <c r="AQ295">
        <v>0.22643441</v>
      </c>
      <c r="AR295">
        <v>448</v>
      </c>
      <c r="AS295">
        <v>3565</v>
      </c>
      <c r="AT295" s="2">
        <v>293</v>
      </c>
      <c r="AU295">
        <v>3723</v>
      </c>
      <c r="AV295" s="3">
        <v>0.7190339</v>
      </c>
      <c r="AW295">
        <v>3723</v>
      </c>
      <c r="AX295" s="2">
        <v>272</v>
      </c>
      <c r="AY295">
        <v>3814</v>
      </c>
    </row>
    <row r="296" spans="34:51" x14ac:dyDescent="0.25">
      <c r="AH296">
        <v>294</v>
      </c>
      <c r="AI296">
        <v>3674</v>
      </c>
      <c r="AJ296">
        <f t="shared" si="22"/>
        <v>521.99727817093083</v>
      </c>
      <c r="AK296">
        <f t="shared" si="23"/>
        <v>2.086435340930142E-3</v>
      </c>
      <c r="AL296">
        <f t="shared" si="24"/>
        <v>0.588540397214252</v>
      </c>
      <c r="AQ296">
        <v>3.8634420000000003E-2</v>
      </c>
      <c r="AR296">
        <v>170</v>
      </c>
      <c r="AS296">
        <v>3833</v>
      </c>
      <c r="AT296" s="2">
        <v>294</v>
      </c>
      <c r="AU296">
        <v>3736</v>
      </c>
      <c r="AV296" s="3">
        <v>0.73271096000000002</v>
      </c>
      <c r="AW296">
        <v>3736</v>
      </c>
      <c r="AX296" s="2">
        <v>22</v>
      </c>
      <c r="AY296">
        <v>3814</v>
      </c>
    </row>
    <row r="297" spans="34:51" x14ac:dyDescent="0.25">
      <c r="AH297">
        <v>295</v>
      </c>
      <c r="AI297">
        <v>3941</v>
      </c>
      <c r="AJ297">
        <f t="shared" si="22"/>
        <v>486.63232682060391</v>
      </c>
      <c r="AK297">
        <f t="shared" si="23"/>
        <v>1.9450808024809292E-3</v>
      </c>
      <c r="AL297">
        <f t="shared" si="24"/>
        <v>0.5904854780167329</v>
      </c>
      <c r="AQ297">
        <v>0.36027414000000002</v>
      </c>
      <c r="AR297">
        <v>395</v>
      </c>
      <c r="AS297">
        <v>3772</v>
      </c>
      <c r="AT297" s="2">
        <v>295</v>
      </c>
      <c r="AU297">
        <v>3845</v>
      </c>
      <c r="AV297" s="3">
        <v>0.76241952000000002</v>
      </c>
      <c r="AW297">
        <v>3845</v>
      </c>
      <c r="AX297" s="2">
        <v>453</v>
      </c>
      <c r="AY297">
        <v>3814</v>
      </c>
    </row>
    <row r="298" spans="34:51" x14ac:dyDescent="0.25">
      <c r="AH298">
        <v>296</v>
      </c>
      <c r="AI298">
        <v>3690</v>
      </c>
      <c r="AJ298">
        <f t="shared" si="22"/>
        <v>519.73387533875336</v>
      </c>
      <c r="AK298">
        <f t="shared" si="23"/>
        <v>2.0773884668231278E-3</v>
      </c>
      <c r="AL298">
        <f t="shared" si="24"/>
        <v>0.59256286648355605</v>
      </c>
      <c r="AQ298">
        <v>0.55813575000000004</v>
      </c>
      <c r="AR298">
        <v>189</v>
      </c>
      <c r="AS298">
        <v>3775</v>
      </c>
      <c r="AT298" s="2">
        <v>296</v>
      </c>
      <c r="AU298">
        <v>3781</v>
      </c>
      <c r="AV298" s="3">
        <v>0.89857458999999995</v>
      </c>
      <c r="AW298">
        <v>3781</v>
      </c>
      <c r="AX298" s="2">
        <v>231</v>
      </c>
      <c r="AY298">
        <v>3815</v>
      </c>
    </row>
    <row r="299" spans="34:51" x14ac:dyDescent="0.25">
      <c r="AH299">
        <v>297</v>
      </c>
      <c r="AI299">
        <v>3788</v>
      </c>
      <c r="AJ299">
        <f t="shared" si="22"/>
        <v>506.28775079197464</v>
      </c>
      <c r="AK299">
        <f t="shared" si="23"/>
        <v>2.0236439922326666E-3</v>
      </c>
      <c r="AL299">
        <f t="shared" si="24"/>
        <v>0.5945865104757887</v>
      </c>
      <c r="AQ299">
        <v>0.16370862999999999</v>
      </c>
      <c r="AR299">
        <v>61</v>
      </c>
      <c r="AS299">
        <v>3717</v>
      </c>
      <c r="AT299" s="2">
        <v>297</v>
      </c>
      <c r="AU299">
        <v>3703</v>
      </c>
      <c r="AV299" s="3">
        <v>0.50176710000000002</v>
      </c>
      <c r="AW299">
        <v>3703</v>
      </c>
      <c r="AX299" s="2">
        <v>406</v>
      </c>
      <c r="AY299">
        <v>3815</v>
      </c>
    </row>
    <row r="300" spans="34:51" x14ac:dyDescent="0.25">
      <c r="AH300">
        <v>298</v>
      </c>
      <c r="AI300">
        <v>4011</v>
      </c>
      <c r="AJ300">
        <f t="shared" si="22"/>
        <v>478.13961605584643</v>
      </c>
      <c r="AK300">
        <f t="shared" si="23"/>
        <v>1.9111352387378064E-3</v>
      </c>
      <c r="AL300">
        <f t="shared" si="24"/>
        <v>0.59649764571452646</v>
      </c>
      <c r="AQ300">
        <v>0.68701683999999996</v>
      </c>
      <c r="AR300">
        <v>449</v>
      </c>
      <c r="AS300">
        <v>3793</v>
      </c>
      <c r="AT300" s="2">
        <v>298</v>
      </c>
      <c r="AU300">
        <v>3851</v>
      </c>
      <c r="AV300" s="3">
        <v>0.59471642999999996</v>
      </c>
      <c r="AW300">
        <v>3851</v>
      </c>
      <c r="AX300" s="2">
        <v>182</v>
      </c>
      <c r="AY300">
        <v>3816</v>
      </c>
    </row>
    <row r="301" spans="34:51" x14ac:dyDescent="0.25">
      <c r="AH301">
        <v>299</v>
      </c>
      <c r="AI301">
        <v>3828</v>
      </c>
      <c r="AJ301">
        <f t="shared" si="22"/>
        <v>500.99738766980147</v>
      </c>
      <c r="AK301">
        <f t="shared" si="23"/>
        <v>2.0024982869846766E-3</v>
      </c>
      <c r="AL301">
        <f t="shared" si="24"/>
        <v>0.59850014400151108</v>
      </c>
      <c r="AQ301">
        <v>0.28451163000000002</v>
      </c>
      <c r="AR301">
        <v>57</v>
      </c>
      <c r="AS301">
        <v>3760</v>
      </c>
      <c r="AT301" s="2">
        <v>299</v>
      </c>
      <c r="AU301">
        <v>3858</v>
      </c>
      <c r="AV301" s="3">
        <v>0.79578786999999995</v>
      </c>
      <c r="AW301">
        <v>3858</v>
      </c>
      <c r="AX301" s="2">
        <v>456</v>
      </c>
      <c r="AY301">
        <v>3817</v>
      </c>
    </row>
    <row r="302" spans="34:51" x14ac:dyDescent="0.25">
      <c r="AH302">
        <v>300</v>
      </c>
      <c r="AI302">
        <v>4014</v>
      </c>
      <c r="AJ302">
        <f t="shared" si="22"/>
        <v>477.78226208271053</v>
      </c>
      <c r="AK302">
        <f t="shared" si="23"/>
        <v>1.9097068865414405E-3</v>
      </c>
      <c r="AL302">
        <f t="shared" si="24"/>
        <v>0.60040985088805254</v>
      </c>
      <c r="AQ302">
        <v>0.42726898000000002</v>
      </c>
      <c r="AR302">
        <v>297</v>
      </c>
      <c r="AS302">
        <v>3788</v>
      </c>
      <c r="AT302" s="2">
        <v>300</v>
      </c>
      <c r="AU302">
        <v>3801</v>
      </c>
      <c r="AV302" s="3">
        <v>0.19031524999999999</v>
      </c>
      <c r="AW302">
        <v>3801</v>
      </c>
      <c r="AX302" s="2">
        <v>185</v>
      </c>
      <c r="AY302">
        <v>3817</v>
      </c>
    </row>
    <row r="303" spans="34:51" x14ac:dyDescent="0.25">
      <c r="AH303">
        <v>301</v>
      </c>
      <c r="AI303">
        <v>3726</v>
      </c>
      <c r="AJ303">
        <f t="shared" si="22"/>
        <v>514.71229200214702</v>
      </c>
      <c r="AK303">
        <f t="shared" si="23"/>
        <v>2.0573170806702473E-3</v>
      </c>
      <c r="AL303">
        <f t="shared" si="24"/>
        <v>0.60246716796872279</v>
      </c>
      <c r="AQ303">
        <v>0.88077181999999998</v>
      </c>
      <c r="AR303">
        <v>69</v>
      </c>
      <c r="AS303">
        <v>3779</v>
      </c>
      <c r="AT303" s="2">
        <v>301</v>
      </c>
      <c r="AU303">
        <v>3756</v>
      </c>
      <c r="AV303" s="3">
        <v>0.70100801999999995</v>
      </c>
      <c r="AW303">
        <v>3756</v>
      </c>
      <c r="AX303" s="2">
        <v>426</v>
      </c>
      <c r="AY303">
        <v>3817</v>
      </c>
    </row>
    <row r="304" spans="34:51" x14ac:dyDescent="0.25">
      <c r="AH304">
        <v>302</v>
      </c>
      <c r="AI304">
        <v>3935</v>
      </c>
      <c r="AJ304">
        <f t="shared" si="22"/>
        <v>487.37433290978402</v>
      </c>
      <c r="AK304">
        <f t="shared" si="23"/>
        <v>1.9480466181899217E-3</v>
      </c>
      <c r="AL304">
        <f t="shared" si="24"/>
        <v>0.60441521458691272</v>
      </c>
      <c r="AQ304">
        <v>0.81243860999999995</v>
      </c>
      <c r="AR304">
        <v>191</v>
      </c>
      <c r="AS304">
        <v>3809</v>
      </c>
      <c r="AT304" s="2">
        <v>302</v>
      </c>
      <c r="AU304">
        <v>3622</v>
      </c>
      <c r="AV304" s="4">
        <v>2.3604989999999999E-2</v>
      </c>
      <c r="AW304">
        <v>3703</v>
      </c>
      <c r="AX304" s="2">
        <v>238</v>
      </c>
      <c r="AY304">
        <v>3818</v>
      </c>
    </row>
    <row r="305" spans="34:51" x14ac:dyDescent="0.25">
      <c r="AH305">
        <v>303</v>
      </c>
      <c r="AI305">
        <v>3941</v>
      </c>
      <c r="AJ305">
        <f t="shared" si="22"/>
        <v>486.63232682060391</v>
      </c>
      <c r="AK305">
        <f t="shared" si="23"/>
        <v>1.9450808024809292E-3</v>
      </c>
      <c r="AL305">
        <f t="shared" si="24"/>
        <v>0.60636029538939362</v>
      </c>
      <c r="AQ305">
        <v>0.32841235000000002</v>
      </c>
      <c r="AR305">
        <v>164</v>
      </c>
      <c r="AS305">
        <v>3893</v>
      </c>
      <c r="AT305" s="2">
        <v>303</v>
      </c>
      <c r="AU305">
        <v>3956</v>
      </c>
      <c r="AV305" s="3">
        <v>0.46549933999999998</v>
      </c>
      <c r="AW305">
        <v>3956</v>
      </c>
      <c r="AX305" s="2">
        <v>177</v>
      </c>
      <c r="AY305">
        <v>3818</v>
      </c>
    </row>
    <row r="306" spans="34:51" x14ac:dyDescent="0.25">
      <c r="AH306">
        <v>304</v>
      </c>
      <c r="AI306">
        <v>3722</v>
      </c>
      <c r="AJ306">
        <f t="shared" si="22"/>
        <v>515.26544868350345</v>
      </c>
      <c r="AK306">
        <f t="shared" si="23"/>
        <v>2.0595280608751588E-3</v>
      </c>
      <c r="AL306">
        <f t="shared" si="24"/>
        <v>0.60841982345026879</v>
      </c>
      <c r="AQ306">
        <v>0.28506874999999998</v>
      </c>
      <c r="AR306">
        <v>72</v>
      </c>
      <c r="AS306">
        <v>3739</v>
      </c>
      <c r="AT306" s="2">
        <v>304</v>
      </c>
      <c r="AU306">
        <v>3682</v>
      </c>
      <c r="AV306" s="3">
        <v>0.88564860999999995</v>
      </c>
      <c r="AW306">
        <v>3682</v>
      </c>
      <c r="AX306" s="2">
        <v>441</v>
      </c>
      <c r="AY306">
        <v>3819</v>
      </c>
    </row>
    <row r="307" spans="34:51" x14ac:dyDescent="0.25">
      <c r="AH307">
        <v>305</v>
      </c>
      <c r="AI307">
        <v>3888</v>
      </c>
      <c r="AJ307">
        <f t="shared" si="22"/>
        <v>493.2659465020576</v>
      </c>
      <c r="AK307">
        <f t="shared" si="23"/>
        <v>1.9715955356423205E-3</v>
      </c>
      <c r="AL307">
        <f t="shared" si="24"/>
        <v>0.61039141898591109</v>
      </c>
      <c r="AQ307">
        <v>0.58886665000000005</v>
      </c>
      <c r="AR307">
        <v>61</v>
      </c>
      <c r="AS307">
        <v>3717</v>
      </c>
      <c r="AT307" s="2">
        <v>305</v>
      </c>
      <c r="AU307">
        <v>3626</v>
      </c>
      <c r="AV307" s="3">
        <v>0.87660461999999995</v>
      </c>
      <c r="AW307">
        <v>3626</v>
      </c>
      <c r="AX307" s="2">
        <v>204</v>
      </c>
      <c r="AY307">
        <v>3819</v>
      </c>
    </row>
    <row r="308" spans="34:51" x14ac:dyDescent="0.25">
      <c r="AH308">
        <v>306</v>
      </c>
      <c r="AI308">
        <v>3817</v>
      </c>
      <c r="AJ308">
        <f t="shared" si="22"/>
        <v>502.44118417605449</v>
      </c>
      <c r="AK308">
        <f t="shared" si="23"/>
        <v>2.0082691754197907E-3</v>
      </c>
      <c r="AL308">
        <f t="shared" si="24"/>
        <v>0.61239968816133084</v>
      </c>
      <c r="AQ308">
        <v>9.3671679999999993E-2</v>
      </c>
      <c r="AR308">
        <v>470</v>
      </c>
      <c r="AS308">
        <v>3655</v>
      </c>
      <c r="AT308" s="2">
        <v>306</v>
      </c>
      <c r="AU308">
        <v>3703</v>
      </c>
      <c r="AV308" s="3">
        <v>0.58702516999999999</v>
      </c>
      <c r="AW308">
        <v>3703</v>
      </c>
      <c r="AX308" s="2">
        <v>222</v>
      </c>
      <c r="AY308">
        <v>3820</v>
      </c>
    </row>
    <row r="309" spans="34:51" x14ac:dyDescent="0.25">
      <c r="AH309">
        <v>307</v>
      </c>
      <c r="AI309">
        <v>3682</v>
      </c>
      <c r="AJ309">
        <f t="shared" si="22"/>
        <v>520.86311787072248</v>
      </c>
      <c r="AK309">
        <f t="shared" si="23"/>
        <v>2.0819020756592454E-3</v>
      </c>
      <c r="AL309">
        <f t="shared" si="24"/>
        <v>0.61448159023699012</v>
      </c>
      <c r="AQ309">
        <v>0.51816039999999997</v>
      </c>
      <c r="AR309">
        <v>344</v>
      </c>
      <c r="AS309">
        <v>3910</v>
      </c>
      <c r="AT309" s="2">
        <v>307</v>
      </c>
      <c r="AU309">
        <v>3691</v>
      </c>
      <c r="AV309" s="3">
        <v>9.3397800000000003E-2</v>
      </c>
      <c r="AW309">
        <v>3691</v>
      </c>
      <c r="AX309" s="2">
        <v>299</v>
      </c>
      <c r="AY309">
        <v>3820</v>
      </c>
    </row>
    <row r="310" spans="34:51" x14ac:dyDescent="0.25">
      <c r="AH310">
        <v>308</v>
      </c>
      <c r="AI310">
        <v>3845</v>
      </c>
      <c r="AJ310">
        <f t="shared" si="22"/>
        <v>498.78231469440834</v>
      </c>
      <c r="AK310">
        <f t="shared" si="23"/>
        <v>1.9936445884466431E-3</v>
      </c>
      <c r="AL310">
        <f t="shared" si="24"/>
        <v>0.61647523482543676</v>
      </c>
      <c r="AQ310">
        <v>0.86548281000000005</v>
      </c>
      <c r="AR310">
        <v>341</v>
      </c>
      <c r="AS310">
        <v>3855</v>
      </c>
      <c r="AT310" s="2">
        <v>308</v>
      </c>
      <c r="AU310">
        <v>3790</v>
      </c>
      <c r="AV310" s="3">
        <v>0.59887707000000001</v>
      </c>
      <c r="AW310">
        <v>3790</v>
      </c>
      <c r="AX310" s="2">
        <v>289</v>
      </c>
      <c r="AY310">
        <v>3821</v>
      </c>
    </row>
    <row r="311" spans="34:51" x14ac:dyDescent="0.25">
      <c r="AH311">
        <v>309</v>
      </c>
      <c r="AI311">
        <v>3687</v>
      </c>
      <c r="AJ311">
        <f t="shared" si="22"/>
        <v>520.1567670192569</v>
      </c>
      <c r="AK311">
        <f t="shared" si="23"/>
        <v>2.0790787747700956E-3</v>
      </c>
      <c r="AL311">
        <f t="shared" si="24"/>
        <v>0.61855431360020685</v>
      </c>
      <c r="AQ311">
        <v>0.64864986999999996</v>
      </c>
      <c r="AR311">
        <v>394</v>
      </c>
      <c r="AS311">
        <v>3779</v>
      </c>
      <c r="AT311" s="2">
        <v>309</v>
      </c>
      <c r="AU311">
        <v>3938</v>
      </c>
      <c r="AV311" s="3">
        <v>0.19614773999999999</v>
      </c>
      <c r="AW311">
        <v>3938</v>
      </c>
      <c r="AX311" s="2">
        <v>340</v>
      </c>
      <c r="AY311">
        <v>3822</v>
      </c>
    </row>
    <row r="312" spans="34:51" x14ac:dyDescent="0.25">
      <c r="AH312">
        <v>310</v>
      </c>
      <c r="AI312">
        <v>3945</v>
      </c>
      <c r="AJ312">
        <f t="shared" si="22"/>
        <v>486.13891001267427</v>
      </c>
      <c r="AK312">
        <f t="shared" si="23"/>
        <v>1.943108603948629E-3</v>
      </c>
      <c r="AL312">
        <f t="shared" si="24"/>
        <v>0.62049742220415549</v>
      </c>
      <c r="AQ312">
        <v>0.76124585</v>
      </c>
      <c r="AR312">
        <v>338</v>
      </c>
      <c r="AS312">
        <v>3774</v>
      </c>
      <c r="AT312" s="2">
        <v>310</v>
      </c>
      <c r="AU312">
        <v>3788</v>
      </c>
      <c r="AV312" s="3">
        <v>0.50071025000000002</v>
      </c>
      <c r="AW312">
        <v>3788</v>
      </c>
      <c r="AX312" s="2">
        <v>315</v>
      </c>
      <c r="AY312">
        <v>3822</v>
      </c>
    </row>
    <row r="313" spans="34:51" x14ac:dyDescent="0.25">
      <c r="AH313">
        <v>311</v>
      </c>
      <c r="AI313">
        <v>3840</v>
      </c>
      <c r="AJ313">
        <f t="shared" si="22"/>
        <v>499.43177083333336</v>
      </c>
      <c r="AK313">
        <f t="shared" si="23"/>
        <v>1.9962404798378494E-3</v>
      </c>
      <c r="AL313">
        <f t="shared" si="24"/>
        <v>0.62249366268399331</v>
      </c>
      <c r="AQ313">
        <v>0.22466642000000001</v>
      </c>
      <c r="AR313">
        <v>99</v>
      </c>
      <c r="AS313">
        <v>3744</v>
      </c>
      <c r="AT313" s="2">
        <v>311</v>
      </c>
      <c r="AU313">
        <v>3735</v>
      </c>
      <c r="AV313" s="3">
        <v>0.98539918999999998</v>
      </c>
      <c r="AW313">
        <v>3735</v>
      </c>
      <c r="AX313" s="2">
        <v>409</v>
      </c>
      <c r="AY313">
        <v>3822</v>
      </c>
    </row>
    <row r="314" spans="34:51" x14ac:dyDescent="0.25">
      <c r="AH314">
        <v>312</v>
      </c>
      <c r="AI314">
        <v>3864</v>
      </c>
      <c r="AJ314">
        <f t="shared" si="22"/>
        <v>496.32971014492756</v>
      </c>
      <c r="AK314">
        <f t="shared" si="23"/>
        <v>1.9838414706463102E-3</v>
      </c>
      <c r="AL314">
        <f t="shared" si="24"/>
        <v>0.62447750415463965</v>
      </c>
      <c r="AQ314">
        <v>0.86827922000000002</v>
      </c>
      <c r="AR314">
        <v>281</v>
      </c>
      <c r="AS314">
        <v>3770</v>
      </c>
      <c r="AT314" s="2">
        <v>312</v>
      </c>
      <c r="AU314">
        <v>3916</v>
      </c>
      <c r="AV314" s="3">
        <v>0.27370297999999998</v>
      </c>
      <c r="AW314">
        <v>3916</v>
      </c>
      <c r="AX314" s="2">
        <v>466</v>
      </c>
      <c r="AY314">
        <v>3822</v>
      </c>
    </row>
    <row r="315" spans="34:51" x14ac:dyDescent="0.25">
      <c r="AH315">
        <v>313</v>
      </c>
      <c r="AI315">
        <v>3818</v>
      </c>
      <c r="AJ315">
        <f t="shared" si="22"/>
        <v>502.30958617077005</v>
      </c>
      <c r="AK315">
        <f t="shared" si="23"/>
        <v>2.0077431751119282E-3</v>
      </c>
      <c r="AL315">
        <f t="shared" si="24"/>
        <v>0.62648524732975153</v>
      </c>
      <c r="AQ315">
        <v>0.52331728</v>
      </c>
      <c r="AR315">
        <v>437</v>
      </c>
      <c r="AS315">
        <v>3744</v>
      </c>
      <c r="AT315" s="2">
        <v>313</v>
      </c>
      <c r="AU315">
        <v>3744</v>
      </c>
      <c r="AV315" s="3">
        <v>0.36917979000000001</v>
      </c>
      <c r="AW315">
        <v>3744</v>
      </c>
      <c r="AX315" s="2">
        <v>431</v>
      </c>
      <c r="AY315">
        <v>3824</v>
      </c>
    </row>
    <row r="316" spans="34:51" x14ac:dyDescent="0.25">
      <c r="AH316">
        <v>314</v>
      </c>
      <c r="AI316">
        <v>3967</v>
      </c>
      <c r="AJ316">
        <f t="shared" si="22"/>
        <v>483.44290395765063</v>
      </c>
      <c r="AK316">
        <f t="shared" si="23"/>
        <v>1.932332604632554E-3</v>
      </c>
      <c r="AL316">
        <f t="shared" si="24"/>
        <v>0.62841757993438407</v>
      </c>
      <c r="AQ316">
        <v>0.73807370999999999</v>
      </c>
      <c r="AR316">
        <v>71</v>
      </c>
      <c r="AS316">
        <v>3736</v>
      </c>
      <c r="AT316" s="2">
        <v>314</v>
      </c>
      <c r="AU316">
        <v>3736</v>
      </c>
      <c r="AV316" s="3">
        <v>0.63908482</v>
      </c>
      <c r="AW316">
        <v>3736</v>
      </c>
      <c r="AX316" s="2">
        <v>78</v>
      </c>
      <c r="AY316">
        <v>3824</v>
      </c>
    </row>
    <row r="317" spans="34:51" x14ac:dyDescent="0.25">
      <c r="AH317">
        <v>315</v>
      </c>
      <c r="AI317">
        <v>3921</v>
      </c>
      <c r="AJ317">
        <f t="shared" si="22"/>
        <v>489.11451160418261</v>
      </c>
      <c r="AK317">
        <f t="shared" si="23"/>
        <v>1.9550021531694315E-3</v>
      </c>
      <c r="AL317">
        <f t="shared" si="24"/>
        <v>0.63037258208755353</v>
      </c>
      <c r="AQ317">
        <v>0.74169260000000004</v>
      </c>
      <c r="AR317">
        <v>176</v>
      </c>
      <c r="AS317">
        <v>3909</v>
      </c>
      <c r="AT317" s="2">
        <v>315</v>
      </c>
      <c r="AU317">
        <v>3918</v>
      </c>
      <c r="AV317" s="3">
        <v>0.84786338000000006</v>
      </c>
      <c r="AW317">
        <v>3918</v>
      </c>
      <c r="AX317" s="2">
        <v>389</v>
      </c>
      <c r="AY317">
        <v>3826</v>
      </c>
    </row>
    <row r="318" spans="34:51" x14ac:dyDescent="0.25">
      <c r="AH318">
        <v>316</v>
      </c>
      <c r="AI318">
        <v>3881</v>
      </c>
      <c r="AJ318">
        <f t="shared" si="22"/>
        <v>494.15562999227001</v>
      </c>
      <c r="AK318">
        <f t="shared" si="23"/>
        <v>1.9751516213804025E-3</v>
      </c>
      <c r="AL318">
        <f t="shared" si="24"/>
        <v>0.63234773370893393</v>
      </c>
      <c r="AQ318">
        <v>0.22467135999999999</v>
      </c>
      <c r="AR318">
        <v>328</v>
      </c>
      <c r="AS318">
        <v>3845</v>
      </c>
      <c r="AT318" s="2">
        <v>316</v>
      </c>
      <c r="AU318">
        <v>3822</v>
      </c>
      <c r="AV318" s="3">
        <v>0.10354674</v>
      </c>
      <c r="AW318">
        <v>3822</v>
      </c>
      <c r="AX318" s="2">
        <v>260</v>
      </c>
      <c r="AY318">
        <v>3826</v>
      </c>
    </row>
    <row r="319" spans="34:51" x14ac:dyDescent="0.25">
      <c r="AH319">
        <v>317</v>
      </c>
      <c r="AI319">
        <v>3911</v>
      </c>
      <c r="AJ319">
        <f t="shared" si="22"/>
        <v>490.36512400920481</v>
      </c>
      <c r="AK319">
        <f t="shared" si="23"/>
        <v>1.9600008802294405E-3</v>
      </c>
      <c r="AL319">
        <f t="shared" si="24"/>
        <v>0.63430773458916334</v>
      </c>
      <c r="AQ319">
        <v>0.98172873000000005</v>
      </c>
      <c r="AR319">
        <v>469</v>
      </c>
      <c r="AS319">
        <v>3865</v>
      </c>
      <c r="AT319" s="2">
        <v>317</v>
      </c>
      <c r="AU319">
        <v>3745</v>
      </c>
      <c r="AV319" s="3">
        <v>0.87793951999999997</v>
      </c>
      <c r="AW319">
        <v>3745</v>
      </c>
      <c r="AX319" s="2">
        <v>119</v>
      </c>
      <c r="AY319">
        <v>3826</v>
      </c>
    </row>
    <row r="320" spans="34:51" x14ac:dyDescent="0.25">
      <c r="AH320">
        <v>318</v>
      </c>
      <c r="AI320">
        <v>3942</v>
      </c>
      <c r="AJ320">
        <f t="shared" si="22"/>
        <v>486.50887874175544</v>
      </c>
      <c r="AK320">
        <f t="shared" si="23"/>
        <v>1.9445873776198228E-3</v>
      </c>
      <c r="AL320">
        <f t="shared" si="24"/>
        <v>0.63625232196678316</v>
      </c>
      <c r="AQ320">
        <v>3.0075669999999999E-2</v>
      </c>
      <c r="AR320">
        <v>424</v>
      </c>
      <c r="AS320">
        <v>3730</v>
      </c>
      <c r="AT320" s="2">
        <v>318</v>
      </c>
      <c r="AU320">
        <v>3699</v>
      </c>
      <c r="AV320" s="3">
        <v>0.36793256000000002</v>
      </c>
      <c r="AW320">
        <v>3699</v>
      </c>
      <c r="AX320" s="2">
        <v>405</v>
      </c>
      <c r="AY320">
        <v>3827</v>
      </c>
    </row>
    <row r="321" spans="34:51" x14ac:dyDescent="0.25">
      <c r="AH321">
        <v>319</v>
      </c>
      <c r="AI321">
        <v>3804</v>
      </c>
      <c r="AJ321">
        <f t="shared" si="22"/>
        <v>504.15825446898003</v>
      </c>
      <c r="AK321">
        <f t="shared" si="23"/>
        <v>2.0151323455776396E-3</v>
      </c>
      <c r="AL321">
        <f t="shared" si="24"/>
        <v>0.63826745431236076</v>
      </c>
      <c r="AQ321">
        <v>0.11397773</v>
      </c>
      <c r="AR321">
        <v>71</v>
      </c>
      <c r="AS321">
        <v>3736</v>
      </c>
      <c r="AT321" s="2">
        <v>319</v>
      </c>
      <c r="AU321">
        <v>3637</v>
      </c>
      <c r="AV321" s="3">
        <v>0.14593929</v>
      </c>
      <c r="AW321">
        <v>3637</v>
      </c>
      <c r="AX321" s="2">
        <v>20</v>
      </c>
      <c r="AY321">
        <v>3828</v>
      </c>
    </row>
    <row r="322" spans="34:51" x14ac:dyDescent="0.25">
      <c r="AH322">
        <v>320</v>
      </c>
      <c r="AI322">
        <v>3708</v>
      </c>
      <c r="AJ322">
        <f t="shared" si="22"/>
        <v>517.21089536138084</v>
      </c>
      <c r="AK322">
        <f t="shared" si="23"/>
        <v>2.0673040567900061E-3</v>
      </c>
      <c r="AL322">
        <f t="shared" si="24"/>
        <v>0.64033475836915077</v>
      </c>
      <c r="AQ322">
        <v>0.61294293</v>
      </c>
      <c r="AR322">
        <v>70</v>
      </c>
      <c r="AS322">
        <v>3668</v>
      </c>
      <c r="AT322" s="2">
        <v>320</v>
      </c>
      <c r="AU322">
        <v>3842</v>
      </c>
      <c r="AV322" s="4">
        <v>5.4615699999999998E-3</v>
      </c>
      <c r="AW322">
        <v>3817</v>
      </c>
      <c r="AX322" s="2">
        <v>168</v>
      </c>
      <c r="AY322">
        <v>3828</v>
      </c>
    </row>
    <row r="323" spans="34:51" x14ac:dyDescent="0.25">
      <c r="AH323">
        <v>321</v>
      </c>
      <c r="AI323">
        <v>3845</v>
      </c>
      <c r="AJ323">
        <f t="shared" si="22"/>
        <v>498.78231469440834</v>
      </c>
      <c r="AK323">
        <f t="shared" si="23"/>
        <v>1.9936445884466431E-3</v>
      </c>
      <c r="AL323">
        <f t="shared" si="24"/>
        <v>0.64232840295759741</v>
      </c>
      <c r="AQ323">
        <v>0.55153315999999997</v>
      </c>
      <c r="AR323">
        <v>436</v>
      </c>
      <c r="AS323">
        <v>3783</v>
      </c>
      <c r="AT323" s="2">
        <v>321</v>
      </c>
      <c r="AU323">
        <v>3783</v>
      </c>
      <c r="AV323" s="3">
        <v>0.80668991999999995</v>
      </c>
      <c r="AW323">
        <v>3783</v>
      </c>
      <c r="AX323" s="2">
        <v>275</v>
      </c>
      <c r="AY323">
        <v>3830</v>
      </c>
    </row>
    <row r="324" spans="34:51" x14ac:dyDescent="0.25">
      <c r="AH324">
        <v>322</v>
      </c>
      <c r="AI324">
        <v>3720</v>
      </c>
      <c r="AJ324">
        <f t="shared" ref="AJ324:AJ387" si="25">$AI$504/AI324</f>
        <v>515.54247311827953</v>
      </c>
      <c r="AK324">
        <f t="shared" ref="AK324:AK387" si="26">AJ324/$AJ$504</f>
        <v>2.0606353340261669E-3</v>
      </c>
      <c r="AL324">
        <f t="shared" ref="AL324:AL387" si="27">AK324+AL323</f>
        <v>0.64438903829162353</v>
      </c>
      <c r="AQ324">
        <v>0.36680496000000001</v>
      </c>
      <c r="AR324">
        <v>378</v>
      </c>
      <c r="AS324">
        <v>3698</v>
      </c>
      <c r="AT324" s="2">
        <v>322</v>
      </c>
      <c r="AU324">
        <v>3698</v>
      </c>
      <c r="AV324" s="3">
        <v>0.51075851999999999</v>
      </c>
      <c r="AW324">
        <v>3698</v>
      </c>
      <c r="AX324" s="2">
        <v>363</v>
      </c>
      <c r="AY324">
        <v>3832</v>
      </c>
    </row>
    <row r="325" spans="34:51" x14ac:dyDescent="0.25">
      <c r="AH325">
        <v>323</v>
      </c>
      <c r="AI325">
        <v>3793</v>
      </c>
      <c r="AJ325">
        <f t="shared" si="25"/>
        <v>505.62035328236226</v>
      </c>
      <c r="AK325">
        <f t="shared" si="26"/>
        <v>2.0209763887628109E-3</v>
      </c>
      <c r="AL325">
        <f t="shared" si="27"/>
        <v>0.64641001468038639</v>
      </c>
      <c r="AQ325">
        <v>0.21536213000000001</v>
      </c>
      <c r="AR325">
        <v>402</v>
      </c>
      <c r="AS325">
        <v>3722</v>
      </c>
      <c r="AT325" s="2">
        <v>323</v>
      </c>
      <c r="AU325">
        <v>3762</v>
      </c>
      <c r="AV325" s="3">
        <v>0.30522996000000002</v>
      </c>
      <c r="AW325">
        <v>3762</v>
      </c>
      <c r="AX325" s="2">
        <v>202</v>
      </c>
      <c r="AY325">
        <v>3833</v>
      </c>
    </row>
    <row r="326" spans="34:51" x14ac:dyDescent="0.25">
      <c r="AH326">
        <v>324</v>
      </c>
      <c r="AI326">
        <v>3772</v>
      </c>
      <c r="AJ326">
        <f t="shared" si="25"/>
        <v>508.43531283138918</v>
      </c>
      <c r="AK326">
        <f t="shared" si="26"/>
        <v>2.0322278479791467E-3</v>
      </c>
      <c r="AL326">
        <f t="shared" si="27"/>
        <v>0.64844224252836558</v>
      </c>
      <c r="AQ326">
        <v>0.22407293</v>
      </c>
      <c r="AR326">
        <v>91</v>
      </c>
      <c r="AS326">
        <v>3813</v>
      </c>
      <c r="AT326" s="2">
        <v>324</v>
      </c>
      <c r="AU326">
        <v>3813</v>
      </c>
      <c r="AV326" s="3">
        <v>0.63928390000000002</v>
      </c>
      <c r="AW326">
        <v>3813</v>
      </c>
      <c r="AX326" s="2">
        <v>412</v>
      </c>
      <c r="AY326">
        <v>3834</v>
      </c>
    </row>
    <row r="327" spans="34:51" x14ac:dyDescent="0.25">
      <c r="AH327">
        <v>325</v>
      </c>
      <c r="AI327">
        <v>3911</v>
      </c>
      <c r="AJ327">
        <f t="shared" si="25"/>
        <v>490.36512400920481</v>
      </c>
      <c r="AK327">
        <f t="shared" si="26"/>
        <v>1.9600008802294405E-3</v>
      </c>
      <c r="AL327">
        <f t="shared" si="27"/>
        <v>0.65040224340859498</v>
      </c>
      <c r="AQ327">
        <v>0.22229356</v>
      </c>
      <c r="AR327">
        <v>425</v>
      </c>
      <c r="AS327">
        <v>3752</v>
      </c>
      <c r="AT327" s="2">
        <v>325</v>
      </c>
      <c r="AU327">
        <v>4050</v>
      </c>
      <c r="AV327" s="3">
        <v>0.17221731000000001</v>
      </c>
      <c r="AW327">
        <v>4050</v>
      </c>
      <c r="AX327" s="2">
        <v>203</v>
      </c>
      <c r="AY327">
        <v>3835</v>
      </c>
    </row>
    <row r="328" spans="34:51" x14ac:dyDescent="0.25">
      <c r="AH328">
        <v>326</v>
      </c>
      <c r="AI328">
        <v>3725</v>
      </c>
      <c r="AJ328">
        <f t="shared" si="25"/>
        <v>514.85046979865774</v>
      </c>
      <c r="AK328">
        <f t="shared" si="26"/>
        <v>2.0578693805576756E-3</v>
      </c>
      <c r="AL328">
        <f t="shared" si="27"/>
        <v>0.65246011278915261</v>
      </c>
      <c r="AQ328">
        <v>9.2072609999999999E-2</v>
      </c>
      <c r="AR328">
        <v>92</v>
      </c>
      <c r="AS328">
        <v>3911</v>
      </c>
      <c r="AT328" s="2">
        <v>326</v>
      </c>
      <c r="AU328">
        <v>3873</v>
      </c>
      <c r="AV328" s="3">
        <v>0.90563141999999996</v>
      </c>
      <c r="AW328">
        <v>3873</v>
      </c>
      <c r="AX328" s="2">
        <v>339</v>
      </c>
      <c r="AY328">
        <v>3835</v>
      </c>
    </row>
    <row r="329" spans="34:51" x14ac:dyDescent="0.25">
      <c r="AH329">
        <v>327</v>
      </c>
      <c r="AI329">
        <v>3870</v>
      </c>
      <c r="AJ329">
        <f t="shared" si="25"/>
        <v>495.56020671834625</v>
      </c>
      <c r="AK329">
        <f t="shared" si="26"/>
        <v>1.9807657474360057E-3</v>
      </c>
      <c r="AL329">
        <f t="shared" si="27"/>
        <v>0.65444087853658861</v>
      </c>
      <c r="AQ329">
        <v>7.6912700000000001E-2</v>
      </c>
      <c r="AR329">
        <v>220</v>
      </c>
      <c r="AS329">
        <v>3638</v>
      </c>
      <c r="AT329" s="2">
        <v>327</v>
      </c>
      <c r="AU329">
        <v>3671</v>
      </c>
      <c r="AV329" s="3">
        <v>0.89624601999999998</v>
      </c>
      <c r="AW329">
        <v>3671</v>
      </c>
      <c r="AX329" s="2">
        <v>345</v>
      </c>
      <c r="AY329">
        <v>3836</v>
      </c>
    </row>
    <row r="330" spans="34:51" x14ac:dyDescent="0.25">
      <c r="AH330">
        <v>328</v>
      </c>
      <c r="AI330">
        <v>3845</v>
      </c>
      <c r="AJ330">
        <f t="shared" si="25"/>
        <v>498.78231469440834</v>
      </c>
      <c r="AK330">
        <f t="shared" si="26"/>
        <v>1.9936445884466431E-3</v>
      </c>
      <c r="AL330">
        <f t="shared" si="27"/>
        <v>0.65643452312503525</v>
      </c>
      <c r="AQ330">
        <v>0.77736068000000003</v>
      </c>
      <c r="AR330">
        <v>343</v>
      </c>
      <c r="AS330">
        <v>3668</v>
      </c>
      <c r="AT330" s="2">
        <v>328</v>
      </c>
      <c r="AU330">
        <v>3756</v>
      </c>
      <c r="AV330" s="3">
        <v>0.78933144</v>
      </c>
      <c r="AW330">
        <v>3756</v>
      </c>
      <c r="AX330" s="2">
        <v>341</v>
      </c>
      <c r="AY330">
        <v>3836</v>
      </c>
    </row>
    <row r="331" spans="34:51" x14ac:dyDescent="0.25">
      <c r="AH331">
        <v>329</v>
      </c>
      <c r="AI331">
        <v>3823</v>
      </c>
      <c r="AJ331">
        <f t="shared" si="25"/>
        <v>501.65262882552969</v>
      </c>
      <c r="AK331">
        <f t="shared" si="26"/>
        <v>2.005117301223474E-3</v>
      </c>
      <c r="AL331">
        <f t="shared" si="27"/>
        <v>0.65843964042625869</v>
      </c>
      <c r="AQ331">
        <v>0.39861195999999999</v>
      </c>
      <c r="AR331">
        <v>209</v>
      </c>
      <c r="AS331">
        <v>3693</v>
      </c>
      <c r="AT331" s="2">
        <v>329</v>
      </c>
      <c r="AU331">
        <v>3681</v>
      </c>
      <c r="AV331" s="3">
        <v>0.20278758</v>
      </c>
      <c r="AW331">
        <v>3681</v>
      </c>
      <c r="AX331" s="2">
        <v>139</v>
      </c>
      <c r="AY331">
        <v>3836</v>
      </c>
    </row>
    <row r="332" spans="34:51" x14ac:dyDescent="0.25">
      <c r="AH332">
        <v>330</v>
      </c>
      <c r="AI332">
        <v>3807</v>
      </c>
      <c r="AJ332">
        <f t="shared" si="25"/>
        <v>503.76096664039926</v>
      </c>
      <c r="AK332">
        <f t="shared" si="26"/>
        <v>2.0135443768261995E-3</v>
      </c>
      <c r="AL332">
        <f t="shared" si="27"/>
        <v>0.6604531848030849</v>
      </c>
      <c r="AQ332">
        <v>0.30457245999999999</v>
      </c>
      <c r="AR332">
        <v>145</v>
      </c>
      <c r="AS332">
        <v>3823</v>
      </c>
      <c r="AT332" s="2">
        <v>330</v>
      </c>
      <c r="AU332">
        <v>4014</v>
      </c>
      <c r="AV332" s="3">
        <v>0.62178195000000003</v>
      </c>
      <c r="AW332">
        <v>4014</v>
      </c>
      <c r="AX332" s="2">
        <v>444</v>
      </c>
      <c r="AY332">
        <v>3836</v>
      </c>
    </row>
    <row r="333" spans="34:51" x14ac:dyDescent="0.25">
      <c r="AH333">
        <v>331</v>
      </c>
      <c r="AI333">
        <v>3807</v>
      </c>
      <c r="AJ333">
        <f t="shared" si="25"/>
        <v>503.76096664039926</v>
      </c>
      <c r="AK333">
        <f t="shared" si="26"/>
        <v>2.0135443768261995E-3</v>
      </c>
      <c r="AL333">
        <f t="shared" si="27"/>
        <v>0.66246672917991112</v>
      </c>
      <c r="AQ333">
        <v>0.46504790000000001</v>
      </c>
      <c r="AR333">
        <v>83</v>
      </c>
      <c r="AS333">
        <v>3671</v>
      </c>
      <c r="AT333" s="2">
        <v>331</v>
      </c>
      <c r="AU333">
        <v>3818</v>
      </c>
      <c r="AV333" s="3">
        <v>0.57421045999999998</v>
      </c>
      <c r="AW333">
        <v>3818</v>
      </c>
      <c r="AX333" s="2">
        <v>121</v>
      </c>
      <c r="AY333">
        <v>3837</v>
      </c>
    </row>
    <row r="334" spans="34:51" x14ac:dyDescent="0.25">
      <c r="AH334">
        <v>332</v>
      </c>
      <c r="AI334">
        <v>3821</v>
      </c>
      <c r="AJ334">
        <f t="shared" si="25"/>
        <v>501.91520544360117</v>
      </c>
      <c r="AK334">
        <f t="shared" si="26"/>
        <v>2.0061668261128871E-3</v>
      </c>
      <c r="AL334">
        <f t="shared" si="27"/>
        <v>0.66447289600602399</v>
      </c>
      <c r="AQ334">
        <v>0.78605080000000005</v>
      </c>
      <c r="AR334">
        <v>370</v>
      </c>
      <c r="AS334">
        <v>3739</v>
      </c>
      <c r="AT334" s="2">
        <v>332</v>
      </c>
      <c r="AU334">
        <v>3731</v>
      </c>
      <c r="AV334" s="3">
        <v>0.52619004000000003</v>
      </c>
      <c r="AW334">
        <v>3731</v>
      </c>
      <c r="AX334" s="2">
        <v>274</v>
      </c>
      <c r="AY334">
        <v>3837</v>
      </c>
    </row>
    <row r="335" spans="34:51" x14ac:dyDescent="0.25">
      <c r="AH335">
        <v>333</v>
      </c>
      <c r="AI335">
        <v>3812</v>
      </c>
      <c r="AJ335">
        <f t="shared" si="25"/>
        <v>503.10020986358865</v>
      </c>
      <c r="AK335">
        <f t="shared" si="26"/>
        <v>2.0109033165208135E-3</v>
      </c>
      <c r="AL335">
        <f t="shared" si="27"/>
        <v>0.66648379932254476</v>
      </c>
      <c r="AQ335">
        <v>0.1032545</v>
      </c>
      <c r="AR335">
        <v>380</v>
      </c>
      <c r="AS335">
        <v>3806</v>
      </c>
      <c r="AT335" s="2">
        <v>333</v>
      </c>
      <c r="AU335">
        <v>3841</v>
      </c>
      <c r="AV335" s="3">
        <v>0.92995589999999995</v>
      </c>
      <c r="AW335">
        <v>3841</v>
      </c>
      <c r="AX335" s="2">
        <v>212</v>
      </c>
      <c r="AY335">
        <v>3838</v>
      </c>
    </row>
    <row r="336" spans="34:51" x14ac:dyDescent="0.25">
      <c r="AH336">
        <v>334</v>
      </c>
      <c r="AI336">
        <v>3756</v>
      </c>
      <c r="AJ336">
        <f t="shared" si="25"/>
        <v>510.60117145899892</v>
      </c>
      <c r="AK336">
        <f t="shared" si="26"/>
        <v>2.0408848356169708E-3</v>
      </c>
      <c r="AL336">
        <f t="shared" si="27"/>
        <v>0.66852468415816169</v>
      </c>
      <c r="AQ336">
        <v>0.24850618999999999</v>
      </c>
      <c r="AR336">
        <v>301</v>
      </c>
      <c r="AS336">
        <v>3726</v>
      </c>
      <c r="AT336" s="2">
        <v>334</v>
      </c>
      <c r="AU336">
        <v>3865</v>
      </c>
      <c r="AV336" s="3">
        <v>0.87704455999999997</v>
      </c>
      <c r="AW336">
        <v>3865</v>
      </c>
      <c r="AX336" s="2">
        <v>192</v>
      </c>
      <c r="AY336">
        <v>3838</v>
      </c>
    </row>
    <row r="337" spans="34:51" x14ac:dyDescent="0.25">
      <c r="AH337">
        <v>335</v>
      </c>
      <c r="AI337">
        <v>3793</v>
      </c>
      <c r="AJ337">
        <f t="shared" si="25"/>
        <v>505.62035328236226</v>
      </c>
      <c r="AK337">
        <f t="shared" si="26"/>
        <v>2.0209763887628109E-3</v>
      </c>
      <c r="AL337">
        <f t="shared" si="27"/>
        <v>0.67054566054692455</v>
      </c>
      <c r="AQ337">
        <v>0.70966273999999996</v>
      </c>
      <c r="AR337">
        <v>31</v>
      </c>
      <c r="AS337">
        <v>3817</v>
      </c>
      <c r="AT337" s="2">
        <v>335</v>
      </c>
      <c r="AU337">
        <v>3817</v>
      </c>
      <c r="AV337" s="3">
        <v>0.74811989000000001</v>
      </c>
      <c r="AW337">
        <v>3817</v>
      </c>
      <c r="AX337" s="2">
        <v>45</v>
      </c>
      <c r="AY337">
        <v>3838</v>
      </c>
    </row>
    <row r="338" spans="34:51" x14ac:dyDescent="0.25">
      <c r="AH338">
        <v>336</v>
      </c>
      <c r="AI338">
        <v>3903</v>
      </c>
      <c r="AJ338">
        <f t="shared" si="25"/>
        <v>491.37022802972075</v>
      </c>
      <c r="AK338">
        <f t="shared" si="26"/>
        <v>1.964018304529168E-3</v>
      </c>
      <c r="AL338">
        <f t="shared" si="27"/>
        <v>0.67250967885145374</v>
      </c>
      <c r="AQ338">
        <v>7.2958229999999999E-2</v>
      </c>
      <c r="AR338">
        <v>91</v>
      </c>
      <c r="AS338">
        <v>3813</v>
      </c>
      <c r="AT338" s="2">
        <v>336</v>
      </c>
      <c r="AU338">
        <v>3813</v>
      </c>
      <c r="AV338" s="3">
        <v>0.43536997</v>
      </c>
      <c r="AW338">
        <v>3813</v>
      </c>
      <c r="AX338" s="2">
        <v>496</v>
      </c>
      <c r="AY338">
        <v>3838</v>
      </c>
    </row>
    <row r="339" spans="34:51" x14ac:dyDescent="0.25">
      <c r="AH339">
        <v>337</v>
      </c>
      <c r="AI339">
        <v>3871</v>
      </c>
      <c r="AJ339">
        <f t="shared" si="25"/>
        <v>495.43218806509947</v>
      </c>
      <c r="AK339">
        <f t="shared" si="26"/>
        <v>1.9802540538820311E-3</v>
      </c>
      <c r="AL339">
        <f t="shared" si="27"/>
        <v>0.67448993290533577</v>
      </c>
      <c r="AQ339">
        <v>0.43027632999999998</v>
      </c>
      <c r="AR339">
        <v>345</v>
      </c>
      <c r="AS339">
        <v>3690</v>
      </c>
      <c r="AT339" s="2">
        <v>337</v>
      </c>
      <c r="AU339">
        <v>3760</v>
      </c>
      <c r="AV339" s="3">
        <v>0.15969151000000001</v>
      </c>
      <c r="AW339">
        <v>3760</v>
      </c>
      <c r="AX339" s="2">
        <v>171</v>
      </c>
      <c r="AY339">
        <v>3839</v>
      </c>
    </row>
    <row r="340" spans="34:51" x14ac:dyDescent="0.25">
      <c r="AH340">
        <v>338</v>
      </c>
      <c r="AI340">
        <v>3774</v>
      </c>
      <c r="AJ340">
        <f t="shared" si="25"/>
        <v>508.16587175410706</v>
      </c>
      <c r="AK340">
        <f t="shared" si="26"/>
        <v>2.0311508856855703E-3</v>
      </c>
      <c r="AL340">
        <f t="shared" si="27"/>
        <v>0.67652108379102138</v>
      </c>
      <c r="AQ340">
        <v>0.95420824999999998</v>
      </c>
      <c r="AR340">
        <v>322</v>
      </c>
      <c r="AS340">
        <v>3720</v>
      </c>
      <c r="AT340" s="2">
        <v>338</v>
      </c>
      <c r="AU340">
        <v>3781</v>
      </c>
      <c r="AV340" s="3">
        <v>0.56601155000000003</v>
      </c>
      <c r="AW340">
        <v>3781</v>
      </c>
      <c r="AX340" s="2">
        <v>12</v>
      </c>
      <c r="AY340">
        <v>3839</v>
      </c>
    </row>
    <row r="341" spans="34:51" x14ac:dyDescent="0.25">
      <c r="AH341">
        <v>339</v>
      </c>
      <c r="AI341">
        <v>3745</v>
      </c>
      <c r="AJ341">
        <f t="shared" si="25"/>
        <v>512.10093457943924</v>
      </c>
      <c r="AK341">
        <f t="shared" si="26"/>
        <v>2.0468794239191833E-3</v>
      </c>
      <c r="AL341">
        <f t="shared" si="27"/>
        <v>0.67856796321494062</v>
      </c>
      <c r="AQ341">
        <v>0.7822538</v>
      </c>
      <c r="AR341">
        <v>257</v>
      </c>
      <c r="AS341">
        <v>3762</v>
      </c>
      <c r="AT341" s="2">
        <v>339</v>
      </c>
      <c r="AU341">
        <v>3777</v>
      </c>
      <c r="AV341" s="3">
        <v>0.79669743999999998</v>
      </c>
      <c r="AW341">
        <v>3777</v>
      </c>
      <c r="AX341" s="2">
        <v>206</v>
      </c>
      <c r="AY341">
        <v>3840</v>
      </c>
    </row>
    <row r="342" spans="34:51" x14ac:dyDescent="0.25">
      <c r="AH342">
        <v>340</v>
      </c>
      <c r="AI342">
        <v>3723</v>
      </c>
      <c r="AJ342">
        <f t="shared" si="25"/>
        <v>515.12704807950581</v>
      </c>
      <c r="AK342">
        <f t="shared" si="26"/>
        <v>2.0589748704209891E-3</v>
      </c>
      <c r="AL342">
        <f t="shared" si="27"/>
        <v>0.68062693808536157</v>
      </c>
      <c r="AQ342">
        <v>0.53609324000000003</v>
      </c>
      <c r="AR342">
        <v>306</v>
      </c>
      <c r="AS342">
        <v>3817</v>
      </c>
      <c r="AT342" s="2">
        <v>340</v>
      </c>
      <c r="AU342">
        <v>3787</v>
      </c>
      <c r="AV342" s="3">
        <v>0.19320177999999999</v>
      </c>
      <c r="AW342">
        <v>3787</v>
      </c>
      <c r="AX342" s="2">
        <v>428</v>
      </c>
      <c r="AY342">
        <v>3840</v>
      </c>
    </row>
    <row r="343" spans="34:51" x14ac:dyDescent="0.25">
      <c r="AH343">
        <v>341</v>
      </c>
      <c r="AI343">
        <v>3855</v>
      </c>
      <c r="AJ343">
        <f t="shared" si="25"/>
        <v>497.48845654993517</v>
      </c>
      <c r="AK343">
        <f t="shared" si="26"/>
        <v>1.9884730071536554E-3</v>
      </c>
      <c r="AL343">
        <f t="shared" si="27"/>
        <v>0.68261541109251522</v>
      </c>
      <c r="AQ343">
        <v>0.24814670999999999</v>
      </c>
      <c r="AR343">
        <v>228</v>
      </c>
      <c r="AS343">
        <v>3628</v>
      </c>
      <c r="AT343" s="2">
        <v>341</v>
      </c>
      <c r="AU343">
        <v>3847</v>
      </c>
      <c r="AV343" s="3">
        <v>0.42550272</v>
      </c>
      <c r="AW343">
        <v>3847</v>
      </c>
      <c r="AX343" s="2">
        <v>439</v>
      </c>
      <c r="AY343">
        <v>3840</v>
      </c>
    </row>
    <row r="344" spans="34:51" x14ac:dyDescent="0.25">
      <c r="AH344">
        <v>342</v>
      </c>
      <c r="AI344">
        <v>3845</v>
      </c>
      <c r="AJ344">
        <f t="shared" si="25"/>
        <v>498.78231469440834</v>
      </c>
      <c r="AK344">
        <f t="shared" si="26"/>
        <v>1.9936445884466431E-3</v>
      </c>
      <c r="AL344">
        <f t="shared" si="27"/>
        <v>0.68460905568096186</v>
      </c>
      <c r="AQ344">
        <v>0.12877095</v>
      </c>
      <c r="AR344">
        <v>344</v>
      </c>
      <c r="AS344">
        <v>3910</v>
      </c>
      <c r="AT344" s="2">
        <v>342</v>
      </c>
      <c r="AU344">
        <v>3921</v>
      </c>
      <c r="AV344" s="3">
        <v>0.40065801000000001</v>
      </c>
      <c r="AW344">
        <v>3921</v>
      </c>
      <c r="AX344" s="2">
        <v>130</v>
      </c>
      <c r="AY344">
        <v>3840</v>
      </c>
    </row>
    <row r="345" spans="34:51" x14ac:dyDescent="0.25">
      <c r="AH345">
        <v>343</v>
      </c>
      <c r="AI345">
        <v>3668</v>
      </c>
      <c r="AJ345">
        <f t="shared" si="25"/>
        <v>522.85114503816794</v>
      </c>
      <c r="AK345">
        <f t="shared" si="26"/>
        <v>2.0898482667877157E-3</v>
      </c>
      <c r="AL345">
        <f t="shared" si="27"/>
        <v>0.68669890394774957</v>
      </c>
      <c r="AQ345">
        <v>0.62404424000000003</v>
      </c>
      <c r="AR345">
        <v>242</v>
      </c>
      <c r="AS345">
        <v>3834</v>
      </c>
      <c r="AT345" s="2">
        <v>343</v>
      </c>
      <c r="AU345">
        <v>3863</v>
      </c>
      <c r="AV345" s="3">
        <v>0.64651780999999997</v>
      </c>
      <c r="AW345">
        <v>3863</v>
      </c>
      <c r="AX345" s="2">
        <v>81</v>
      </c>
      <c r="AY345">
        <v>3840</v>
      </c>
    </row>
    <row r="346" spans="34:51" x14ac:dyDescent="0.25">
      <c r="AH346">
        <v>344</v>
      </c>
      <c r="AI346">
        <v>3910</v>
      </c>
      <c r="AJ346">
        <f t="shared" si="25"/>
        <v>490.49053708439897</v>
      </c>
      <c r="AK346">
        <f t="shared" si="26"/>
        <v>1.9605021592269418E-3</v>
      </c>
      <c r="AL346">
        <f t="shared" si="27"/>
        <v>0.68865940610697651</v>
      </c>
      <c r="AQ346">
        <v>0.16428638000000001</v>
      </c>
      <c r="AR346">
        <v>453</v>
      </c>
      <c r="AS346">
        <v>3817</v>
      </c>
      <c r="AT346" s="2">
        <v>344</v>
      </c>
      <c r="AU346">
        <v>3840</v>
      </c>
      <c r="AV346" s="3">
        <v>0.83246136000000004</v>
      </c>
      <c r="AW346">
        <v>3840</v>
      </c>
      <c r="AX346" s="2">
        <v>330</v>
      </c>
      <c r="AY346">
        <v>3841</v>
      </c>
    </row>
    <row r="347" spans="34:51" x14ac:dyDescent="0.25">
      <c r="AH347">
        <v>345</v>
      </c>
      <c r="AI347">
        <v>3690</v>
      </c>
      <c r="AJ347">
        <f t="shared" si="25"/>
        <v>519.73387533875336</v>
      </c>
      <c r="AK347">
        <f t="shared" si="26"/>
        <v>2.0773884668231278E-3</v>
      </c>
      <c r="AL347">
        <f t="shared" si="27"/>
        <v>0.69073679457379966</v>
      </c>
      <c r="AQ347">
        <v>0.15287392999999999</v>
      </c>
      <c r="AR347">
        <v>83</v>
      </c>
      <c r="AS347">
        <v>3671</v>
      </c>
      <c r="AT347" s="2">
        <v>345</v>
      </c>
      <c r="AU347">
        <v>3838</v>
      </c>
      <c r="AV347" s="3">
        <v>0.19156187999999999</v>
      </c>
      <c r="AW347">
        <v>3838</v>
      </c>
      <c r="AX347" s="2">
        <v>316</v>
      </c>
      <c r="AY347">
        <v>3843</v>
      </c>
    </row>
    <row r="348" spans="34:51" x14ac:dyDescent="0.25">
      <c r="AH348">
        <v>346</v>
      </c>
      <c r="AI348">
        <v>3875</v>
      </c>
      <c r="AJ348">
        <f t="shared" si="25"/>
        <v>494.92077419354837</v>
      </c>
      <c r="AK348">
        <f t="shared" si="26"/>
        <v>1.9782099206651204E-3</v>
      </c>
      <c r="AL348">
        <f t="shared" si="27"/>
        <v>0.69271500449446477</v>
      </c>
      <c r="AQ348">
        <v>0.29666935999999999</v>
      </c>
      <c r="AR348">
        <v>185</v>
      </c>
      <c r="AS348">
        <v>3841</v>
      </c>
      <c r="AT348" s="2">
        <v>346</v>
      </c>
      <c r="AU348">
        <v>3771</v>
      </c>
      <c r="AV348" s="3">
        <v>0.30096686</v>
      </c>
      <c r="AW348">
        <v>3771</v>
      </c>
      <c r="AX348" s="2">
        <v>4</v>
      </c>
      <c r="AY348">
        <v>3844</v>
      </c>
    </row>
    <row r="349" spans="34:51" x14ac:dyDescent="0.25">
      <c r="AH349">
        <v>347</v>
      </c>
      <c r="AI349">
        <v>3893</v>
      </c>
      <c r="AJ349">
        <f t="shared" si="25"/>
        <v>492.63241715900335</v>
      </c>
      <c r="AK349">
        <f t="shared" si="26"/>
        <v>1.9690633040270592E-3</v>
      </c>
      <c r="AL349">
        <f t="shared" si="27"/>
        <v>0.69468406779849179</v>
      </c>
      <c r="AQ349">
        <v>0.72410876000000002</v>
      </c>
      <c r="AR349">
        <v>210</v>
      </c>
      <c r="AS349">
        <v>3875</v>
      </c>
      <c r="AT349" s="2">
        <v>347</v>
      </c>
      <c r="AU349">
        <v>3929</v>
      </c>
      <c r="AV349" s="3">
        <v>0.60013229000000001</v>
      </c>
      <c r="AW349">
        <v>3929</v>
      </c>
      <c r="AX349" s="2">
        <v>38</v>
      </c>
      <c r="AY349">
        <v>3845</v>
      </c>
    </row>
    <row r="350" spans="34:51" x14ac:dyDescent="0.25">
      <c r="AH350">
        <v>348</v>
      </c>
      <c r="AI350">
        <v>3822</v>
      </c>
      <c r="AJ350">
        <f t="shared" si="25"/>
        <v>501.7838827838828</v>
      </c>
      <c r="AK350">
        <f t="shared" si="26"/>
        <v>2.0056419263676981E-3</v>
      </c>
      <c r="AL350">
        <f t="shared" si="27"/>
        <v>0.69668970972485944</v>
      </c>
      <c r="AQ350">
        <v>0.30281353</v>
      </c>
      <c r="AR350">
        <v>438</v>
      </c>
      <c r="AS350">
        <v>3731</v>
      </c>
      <c r="AT350" s="2">
        <v>348</v>
      </c>
      <c r="AU350">
        <v>3749</v>
      </c>
      <c r="AV350" s="3">
        <v>0.25799488999999998</v>
      </c>
      <c r="AW350">
        <v>3749</v>
      </c>
      <c r="AX350" s="2">
        <v>404</v>
      </c>
      <c r="AY350">
        <v>3845</v>
      </c>
    </row>
    <row r="351" spans="34:51" x14ac:dyDescent="0.25">
      <c r="AH351">
        <v>349</v>
      </c>
      <c r="AI351">
        <v>3928</v>
      </c>
      <c r="AJ351">
        <f t="shared" si="25"/>
        <v>488.24287169042771</v>
      </c>
      <c r="AK351">
        <f t="shared" si="26"/>
        <v>1.9515181880288548E-3</v>
      </c>
      <c r="AL351">
        <f t="shared" si="27"/>
        <v>0.6986412279128883</v>
      </c>
      <c r="AQ351">
        <v>0.67113036000000004</v>
      </c>
      <c r="AR351">
        <v>499</v>
      </c>
      <c r="AS351">
        <v>3821</v>
      </c>
      <c r="AT351" s="2">
        <v>349</v>
      </c>
      <c r="AU351">
        <v>3658</v>
      </c>
      <c r="AV351" s="3">
        <v>0.30583041999999999</v>
      </c>
      <c r="AW351">
        <v>3658</v>
      </c>
      <c r="AX351" s="2">
        <v>26</v>
      </c>
      <c r="AY351">
        <v>3845</v>
      </c>
    </row>
    <row r="352" spans="34:51" x14ac:dyDescent="0.25">
      <c r="AH352">
        <v>350</v>
      </c>
      <c r="AI352">
        <v>3712</v>
      </c>
      <c r="AJ352">
        <f t="shared" si="25"/>
        <v>516.65355603448279</v>
      </c>
      <c r="AK352">
        <f t="shared" si="26"/>
        <v>2.0650763584529478E-3</v>
      </c>
      <c r="AL352">
        <f t="shared" si="27"/>
        <v>0.70070630427134128</v>
      </c>
      <c r="AQ352">
        <v>0.19038641000000001</v>
      </c>
      <c r="AR352">
        <v>103</v>
      </c>
      <c r="AS352">
        <v>3851</v>
      </c>
      <c r="AT352" s="2">
        <v>350</v>
      </c>
      <c r="AU352">
        <v>3959</v>
      </c>
      <c r="AV352" s="4">
        <v>3.5553809999999998E-2</v>
      </c>
      <c r="AW352">
        <v>3876</v>
      </c>
      <c r="AX352" s="2">
        <v>197</v>
      </c>
      <c r="AY352">
        <v>3847</v>
      </c>
    </row>
    <row r="353" spans="34:51" x14ac:dyDescent="0.25">
      <c r="AH353">
        <v>351</v>
      </c>
      <c r="AI353">
        <v>4033</v>
      </c>
      <c r="AJ353">
        <f t="shared" si="25"/>
        <v>475.53136622861393</v>
      </c>
      <c r="AK353">
        <f t="shared" si="26"/>
        <v>1.9007100031186068E-3</v>
      </c>
      <c r="AL353">
        <f t="shared" si="27"/>
        <v>0.70260701427445993</v>
      </c>
      <c r="AQ353">
        <v>0.94749861999999996</v>
      </c>
      <c r="AR353">
        <v>169</v>
      </c>
      <c r="AS353">
        <v>3820</v>
      </c>
      <c r="AT353" s="2">
        <v>351</v>
      </c>
      <c r="AU353">
        <v>3873</v>
      </c>
      <c r="AV353" s="3">
        <v>0.70318382999999995</v>
      </c>
      <c r="AW353">
        <v>3873</v>
      </c>
      <c r="AX353" s="2">
        <v>198</v>
      </c>
      <c r="AY353">
        <v>3847</v>
      </c>
    </row>
    <row r="354" spans="34:51" x14ac:dyDescent="0.25">
      <c r="AH354">
        <v>352</v>
      </c>
      <c r="AI354">
        <v>3739</v>
      </c>
      <c r="AJ354">
        <f t="shared" si="25"/>
        <v>512.92270660604436</v>
      </c>
      <c r="AK354">
        <f t="shared" si="26"/>
        <v>2.0501640659474035E-3</v>
      </c>
      <c r="AL354">
        <f t="shared" si="27"/>
        <v>0.70465717834040731</v>
      </c>
      <c r="AQ354">
        <v>0.16902089000000001</v>
      </c>
      <c r="AR354">
        <v>2</v>
      </c>
      <c r="AS354">
        <v>3844</v>
      </c>
      <c r="AT354" s="2">
        <v>352</v>
      </c>
      <c r="AU354">
        <v>3907</v>
      </c>
      <c r="AV354" s="3">
        <v>0.11229241</v>
      </c>
      <c r="AW354">
        <v>3907</v>
      </c>
      <c r="AX354" s="2">
        <v>175</v>
      </c>
      <c r="AY354">
        <v>3847</v>
      </c>
    </row>
    <row r="355" spans="34:51" x14ac:dyDescent="0.25">
      <c r="AH355">
        <v>353</v>
      </c>
      <c r="AI355">
        <v>3842</v>
      </c>
      <c r="AJ355">
        <f t="shared" si="25"/>
        <v>499.17178552837066</v>
      </c>
      <c r="AK355">
        <f t="shared" si="26"/>
        <v>1.9952013124875955E-3</v>
      </c>
      <c r="AL355">
        <f t="shared" si="27"/>
        <v>0.70665237965289496</v>
      </c>
      <c r="AQ355">
        <v>0.71337742000000004</v>
      </c>
      <c r="AR355">
        <v>31</v>
      </c>
      <c r="AS355">
        <v>3817</v>
      </c>
      <c r="AT355" s="2">
        <v>353</v>
      </c>
      <c r="AU355">
        <v>3884</v>
      </c>
      <c r="AV355" s="3">
        <v>0.62758141999999995</v>
      </c>
      <c r="AW355">
        <v>3884</v>
      </c>
      <c r="AX355" s="2">
        <v>49</v>
      </c>
      <c r="AY355">
        <v>3847</v>
      </c>
    </row>
    <row r="356" spans="34:51" x14ac:dyDescent="0.25">
      <c r="AH356">
        <v>354</v>
      </c>
      <c r="AI356">
        <v>3962</v>
      </c>
      <c r="AJ356">
        <f t="shared" si="25"/>
        <v>484.05300353356893</v>
      </c>
      <c r="AK356">
        <f t="shared" si="26"/>
        <v>1.9347711869200763E-3</v>
      </c>
      <c r="AL356">
        <f t="shared" si="27"/>
        <v>0.70858715083981505</v>
      </c>
      <c r="AQ356">
        <v>0.39103781999999998</v>
      </c>
      <c r="AR356">
        <v>114</v>
      </c>
      <c r="AS356">
        <v>3653</v>
      </c>
      <c r="AT356" s="2">
        <v>354</v>
      </c>
      <c r="AU356">
        <v>3763</v>
      </c>
      <c r="AV356" s="3">
        <v>0.29137014999999999</v>
      </c>
      <c r="AW356">
        <v>3763</v>
      </c>
      <c r="AX356" s="2">
        <v>51</v>
      </c>
      <c r="AY356">
        <v>3847</v>
      </c>
    </row>
    <row r="357" spans="34:51" x14ac:dyDescent="0.25">
      <c r="AH357">
        <v>355</v>
      </c>
      <c r="AI357">
        <v>4008</v>
      </c>
      <c r="AJ357">
        <f t="shared" si="25"/>
        <v>478.49750499001993</v>
      </c>
      <c r="AK357">
        <f t="shared" si="26"/>
        <v>1.9125657291859633E-3</v>
      </c>
      <c r="AL357">
        <f t="shared" si="27"/>
        <v>0.71049971656900102</v>
      </c>
      <c r="AQ357">
        <v>0.61336665999999995</v>
      </c>
      <c r="AR357">
        <v>81</v>
      </c>
      <c r="AS357">
        <v>3808</v>
      </c>
      <c r="AT357" s="2">
        <v>355</v>
      </c>
      <c r="AU357">
        <v>3815</v>
      </c>
      <c r="AV357" s="3">
        <v>0.35853666000000001</v>
      </c>
      <c r="AW357">
        <v>3815</v>
      </c>
      <c r="AX357" s="2">
        <v>256</v>
      </c>
      <c r="AY357">
        <v>3847</v>
      </c>
    </row>
    <row r="358" spans="34:51" x14ac:dyDescent="0.25">
      <c r="AH358">
        <v>356</v>
      </c>
      <c r="AI358">
        <v>4015</v>
      </c>
      <c r="AJ358">
        <f t="shared" si="25"/>
        <v>477.66326276463263</v>
      </c>
      <c r="AK358">
        <f t="shared" si="26"/>
        <v>1.9092312434812807E-3</v>
      </c>
      <c r="AL358">
        <f t="shared" si="27"/>
        <v>0.71240894781248232</v>
      </c>
      <c r="AQ358">
        <v>0.61794996000000002</v>
      </c>
      <c r="AR358">
        <v>165</v>
      </c>
      <c r="AS358">
        <v>3660</v>
      </c>
      <c r="AT358" s="2">
        <v>356</v>
      </c>
      <c r="AU358">
        <v>3654</v>
      </c>
      <c r="AV358" s="3">
        <v>0.91893899000000001</v>
      </c>
      <c r="AW358">
        <v>3654</v>
      </c>
      <c r="AX358" s="2">
        <v>455</v>
      </c>
      <c r="AY358">
        <v>3849</v>
      </c>
    </row>
    <row r="359" spans="34:51" x14ac:dyDescent="0.25">
      <c r="AH359">
        <v>357</v>
      </c>
      <c r="AI359">
        <v>3817</v>
      </c>
      <c r="AJ359">
        <f t="shared" si="25"/>
        <v>502.44118417605449</v>
      </c>
      <c r="AK359">
        <f t="shared" si="26"/>
        <v>2.0082691754197907E-3</v>
      </c>
      <c r="AL359">
        <f t="shared" si="27"/>
        <v>0.71441721698790206</v>
      </c>
      <c r="AQ359">
        <v>0.27699058999999998</v>
      </c>
      <c r="AR359">
        <v>177</v>
      </c>
      <c r="AS359">
        <v>3903</v>
      </c>
      <c r="AT359" s="2">
        <v>357</v>
      </c>
      <c r="AU359">
        <v>4018</v>
      </c>
      <c r="AV359" s="3">
        <v>0.13952643000000001</v>
      </c>
      <c r="AW359">
        <v>4018</v>
      </c>
      <c r="AX359" s="2">
        <v>285</v>
      </c>
      <c r="AY359">
        <v>3849</v>
      </c>
    </row>
    <row r="360" spans="34:51" x14ac:dyDescent="0.25">
      <c r="AH360">
        <v>358</v>
      </c>
      <c r="AI360">
        <v>3933</v>
      </c>
      <c r="AJ360">
        <f t="shared" si="25"/>
        <v>487.62217137045513</v>
      </c>
      <c r="AK360">
        <f t="shared" si="26"/>
        <v>1.9490372343191817E-3</v>
      </c>
      <c r="AL360">
        <f t="shared" si="27"/>
        <v>0.71636625422222122</v>
      </c>
      <c r="AQ360">
        <v>0.21899711999999999</v>
      </c>
      <c r="AR360">
        <v>107</v>
      </c>
      <c r="AS360">
        <v>3854</v>
      </c>
      <c r="AT360" s="2">
        <v>358</v>
      </c>
      <c r="AU360">
        <v>3792</v>
      </c>
      <c r="AV360" s="3">
        <v>0.20988082999999999</v>
      </c>
      <c r="AW360">
        <v>3792</v>
      </c>
      <c r="AX360" s="2">
        <v>308</v>
      </c>
      <c r="AY360">
        <v>3850</v>
      </c>
    </row>
    <row r="361" spans="34:51" x14ac:dyDescent="0.25">
      <c r="AH361">
        <v>359</v>
      </c>
      <c r="AI361">
        <v>3852</v>
      </c>
      <c r="AJ361">
        <f t="shared" si="25"/>
        <v>497.87590861889925</v>
      </c>
      <c r="AK361">
        <f t="shared" si="26"/>
        <v>1.9900216621436505E-3</v>
      </c>
      <c r="AL361">
        <f t="shared" si="27"/>
        <v>0.7183562758843649</v>
      </c>
      <c r="AQ361">
        <v>0.82309228000000001</v>
      </c>
      <c r="AR361">
        <v>84</v>
      </c>
      <c r="AS361">
        <v>3649</v>
      </c>
      <c r="AT361" s="2">
        <v>359</v>
      </c>
      <c r="AU361">
        <v>3641</v>
      </c>
      <c r="AV361" s="3">
        <v>0.48996752999999998</v>
      </c>
      <c r="AW361">
        <v>3641</v>
      </c>
      <c r="AX361" s="2">
        <v>25</v>
      </c>
      <c r="AY361">
        <v>3850</v>
      </c>
    </row>
    <row r="362" spans="34:51" x14ac:dyDescent="0.25">
      <c r="AH362">
        <v>360</v>
      </c>
      <c r="AI362">
        <v>3874</v>
      </c>
      <c r="AJ362">
        <f t="shared" si="25"/>
        <v>495.04852865255549</v>
      </c>
      <c r="AK362">
        <f t="shared" si="26"/>
        <v>1.9787205582285344E-3</v>
      </c>
      <c r="AL362">
        <f t="shared" si="27"/>
        <v>0.72033499644259347</v>
      </c>
      <c r="AQ362">
        <v>0.15796256</v>
      </c>
      <c r="AR362">
        <v>279</v>
      </c>
      <c r="AS362">
        <v>3744</v>
      </c>
      <c r="AT362" s="2">
        <v>360</v>
      </c>
      <c r="AU362">
        <v>3897</v>
      </c>
      <c r="AV362" s="3">
        <v>0.11375773</v>
      </c>
      <c r="AW362">
        <v>3897</v>
      </c>
      <c r="AX362" s="2">
        <v>434</v>
      </c>
      <c r="AY362">
        <v>3851</v>
      </c>
    </row>
    <row r="363" spans="34:51" x14ac:dyDescent="0.25">
      <c r="AH363">
        <v>361</v>
      </c>
      <c r="AI363">
        <v>3825</v>
      </c>
      <c r="AJ363">
        <f t="shared" si="25"/>
        <v>501.39032679738563</v>
      </c>
      <c r="AK363">
        <f t="shared" si="26"/>
        <v>2.004068873876429E-3</v>
      </c>
      <c r="AL363">
        <f t="shared" si="27"/>
        <v>0.72233906531646985</v>
      </c>
      <c r="AQ363">
        <v>0.39938444000000001</v>
      </c>
      <c r="AR363">
        <v>132</v>
      </c>
      <c r="AS363">
        <v>3834</v>
      </c>
      <c r="AT363" s="2">
        <v>361</v>
      </c>
      <c r="AU363">
        <v>3828</v>
      </c>
      <c r="AV363" s="4">
        <v>3.7736239999999997E-2</v>
      </c>
      <c r="AW363">
        <v>3787</v>
      </c>
      <c r="AX363" s="2">
        <v>84</v>
      </c>
      <c r="AY363">
        <v>3852</v>
      </c>
    </row>
    <row r="364" spans="34:51" x14ac:dyDescent="0.25">
      <c r="AH364">
        <v>362</v>
      </c>
      <c r="AI364">
        <v>3808</v>
      </c>
      <c r="AJ364">
        <f t="shared" si="25"/>
        <v>503.62867647058823</v>
      </c>
      <c r="AK364">
        <f t="shared" si="26"/>
        <v>2.0130156099205203E-3</v>
      </c>
      <c r="AL364">
        <f t="shared" si="27"/>
        <v>0.72435208092639036</v>
      </c>
      <c r="AQ364">
        <v>0.87452065999999995</v>
      </c>
      <c r="AR364">
        <v>209</v>
      </c>
      <c r="AS364">
        <v>3693</v>
      </c>
      <c r="AT364" s="2">
        <v>362</v>
      </c>
      <c r="AU364">
        <v>3772</v>
      </c>
      <c r="AV364" s="3">
        <v>0.26614558999999999</v>
      </c>
      <c r="AW364">
        <v>3772</v>
      </c>
      <c r="AX364" s="2">
        <v>469</v>
      </c>
      <c r="AY364">
        <v>3853</v>
      </c>
    </row>
    <row r="365" spans="34:51" x14ac:dyDescent="0.25">
      <c r="AH365">
        <v>363</v>
      </c>
      <c r="AI365">
        <v>3884</v>
      </c>
      <c r="AJ365">
        <f t="shared" si="25"/>
        <v>493.77394438722968</v>
      </c>
      <c r="AK365">
        <f t="shared" si="26"/>
        <v>1.973626015081705E-3</v>
      </c>
      <c r="AL365">
        <f t="shared" si="27"/>
        <v>0.72632570694147203</v>
      </c>
      <c r="AQ365">
        <v>3.8406429999999998E-2</v>
      </c>
      <c r="AR365">
        <v>435</v>
      </c>
      <c r="AS365">
        <v>3680</v>
      </c>
      <c r="AT365" s="2">
        <v>363</v>
      </c>
      <c r="AU365">
        <v>3689</v>
      </c>
      <c r="AV365" s="3">
        <v>0.67651992999999999</v>
      </c>
      <c r="AW365">
        <v>3689</v>
      </c>
      <c r="AX365" s="2">
        <v>388</v>
      </c>
      <c r="AY365">
        <v>3854</v>
      </c>
    </row>
    <row r="366" spans="34:51" x14ac:dyDescent="0.25">
      <c r="AH366">
        <v>364</v>
      </c>
      <c r="AI366">
        <v>3781</v>
      </c>
      <c r="AJ366">
        <f t="shared" si="25"/>
        <v>507.22507273208146</v>
      </c>
      <c r="AK366">
        <f t="shared" si="26"/>
        <v>2.0273904899702042E-3</v>
      </c>
      <c r="AL366">
        <f t="shared" si="27"/>
        <v>0.72835309743144228</v>
      </c>
      <c r="AQ366">
        <v>0.21636580999999999</v>
      </c>
      <c r="AR366">
        <v>159</v>
      </c>
      <c r="AS366">
        <v>3754</v>
      </c>
      <c r="AT366" s="2">
        <v>364</v>
      </c>
      <c r="AU366">
        <v>3963</v>
      </c>
      <c r="AV366" s="3">
        <v>0.36306047000000002</v>
      </c>
      <c r="AW366">
        <v>3963</v>
      </c>
      <c r="AX366" s="2">
        <v>277</v>
      </c>
      <c r="AY366">
        <v>3855</v>
      </c>
    </row>
    <row r="367" spans="34:51" x14ac:dyDescent="0.25">
      <c r="AH367">
        <v>365</v>
      </c>
      <c r="AI367">
        <v>3926</v>
      </c>
      <c r="AJ367">
        <f t="shared" si="25"/>
        <v>488.49159449821701</v>
      </c>
      <c r="AK367">
        <f t="shared" si="26"/>
        <v>1.9525123389142491E-3</v>
      </c>
      <c r="AL367">
        <f t="shared" si="27"/>
        <v>0.73030560977035652</v>
      </c>
      <c r="AQ367">
        <v>0.36113757000000002</v>
      </c>
      <c r="AR367">
        <v>76</v>
      </c>
      <c r="AS367">
        <v>3813</v>
      </c>
      <c r="AT367" s="2">
        <v>365</v>
      </c>
      <c r="AU367">
        <v>3716</v>
      </c>
      <c r="AV367" s="3">
        <v>0.23794812000000001</v>
      </c>
      <c r="AW367">
        <v>3716</v>
      </c>
      <c r="AX367" s="2">
        <v>227</v>
      </c>
      <c r="AY367">
        <v>3855</v>
      </c>
    </row>
    <row r="368" spans="34:51" x14ac:dyDescent="0.25">
      <c r="AH368">
        <v>366</v>
      </c>
      <c r="AI368">
        <v>3831</v>
      </c>
      <c r="AJ368">
        <f t="shared" si="25"/>
        <v>500.60506395197075</v>
      </c>
      <c r="AK368">
        <f t="shared" si="26"/>
        <v>2.0009301599001154E-3</v>
      </c>
      <c r="AL368">
        <f t="shared" si="27"/>
        <v>0.73230653993025663</v>
      </c>
      <c r="AQ368">
        <v>0.82837260000000001</v>
      </c>
      <c r="AR368">
        <v>46</v>
      </c>
      <c r="AS368">
        <v>3726</v>
      </c>
      <c r="AT368" s="2">
        <v>366</v>
      </c>
      <c r="AU368">
        <v>3877</v>
      </c>
      <c r="AV368" s="3">
        <v>0.74725735000000004</v>
      </c>
      <c r="AW368">
        <v>3877</v>
      </c>
      <c r="AX368" s="2">
        <v>429</v>
      </c>
      <c r="AY368">
        <v>3856</v>
      </c>
    </row>
    <row r="369" spans="34:51" x14ac:dyDescent="0.25">
      <c r="AH369">
        <v>367</v>
      </c>
      <c r="AI369">
        <v>3874</v>
      </c>
      <c r="AJ369">
        <f t="shared" si="25"/>
        <v>495.04852865255549</v>
      </c>
      <c r="AK369">
        <f t="shared" si="26"/>
        <v>1.9787205582285344E-3</v>
      </c>
      <c r="AL369">
        <f t="shared" si="27"/>
        <v>0.73428526048848519</v>
      </c>
      <c r="AQ369">
        <v>0.90951663000000005</v>
      </c>
      <c r="AR369">
        <v>137</v>
      </c>
      <c r="AS369">
        <v>3886</v>
      </c>
      <c r="AT369" s="2">
        <v>367</v>
      </c>
      <c r="AU369">
        <v>3882</v>
      </c>
      <c r="AV369" s="4">
        <v>4.9131499999999998E-3</v>
      </c>
      <c r="AW369">
        <v>3866</v>
      </c>
      <c r="AX369" s="2">
        <v>179</v>
      </c>
      <c r="AY369">
        <v>3857</v>
      </c>
    </row>
    <row r="370" spans="34:51" x14ac:dyDescent="0.25">
      <c r="AH370">
        <v>368</v>
      </c>
      <c r="AI370">
        <v>4062</v>
      </c>
      <c r="AJ370">
        <f t="shared" si="25"/>
        <v>472.13638601674052</v>
      </c>
      <c r="AK370">
        <f t="shared" si="26"/>
        <v>1.8871401877344515E-3</v>
      </c>
      <c r="AL370">
        <f t="shared" si="27"/>
        <v>0.7361724006762197</v>
      </c>
      <c r="AQ370">
        <v>0.65503716000000001</v>
      </c>
      <c r="AR370">
        <v>457</v>
      </c>
      <c r="AS370">
        <v>3706</v>
      </c>
      <c r="AT370" s="2">
        <v>368</v>
      </c>
      <c r="AU370">
        <v>3746</v>
      </c>
      <c r="AV370" s="3">
        <v>0.87063062000000002</v>
      </c>
      <c r="AW370">
        <v>3746</v>
      </c>
      <c r="AX370" s="2">
        <v>224</v>
      </c>
      <c r="AY370">
        <v>3857</v>
      </c>
    </row>
    <row r="371" spans="34:51" x14ac:dyDescent="0.25">
      <c r="AH371">
        <v>369</v>
      </c>
      <c r="AI371">
        <v>3686</v>
      </c>
      <c r="AJ371">
        <f t="shared" si="25"/>
        <v>520.29788388497013</v>
      </c>
      <c r="AK371">
        <f t="shared" si="26"/>
        <v>2.0796428221859309E-3</v>
      </c>
      <c r="AL371">
        <f t="shared" si="27"/>
        <v>0.73825204349840567</v>
      </c>
      <c r="AQ371">
        <v>0.13911766</v>
      </c>
      <c r="AR371">
        <v>131</v>
      </c>
      <c r="AS371">
        <v>3854</v>
      </c>
      <c r="AT371" s="2">
        <v>369</v>
      </c>
      <c r="AU371">
        <v>3729</v>
      </c>
      <c r="AV371" s="3">
        <v>0.14480311000000001</v>
      </c>
      <c r="AW371">
        <v>3729</v>
      </c>
      <c r="AX371" s="2">
        <v>245</v>
      </c>
      <c r="AY371">
        <v>3858</v>
      </c>
    </row>
    <row r="372" spans="34:51" x14ac:dyDescent="0.25">
      <c r="AH372">
        <v>370</v>
      </c>
      <c r="AI372">
        <v>3739</v>
      </c>
      <c r="AJ372">
        <f t="shared" si="25"/>
        <v>512.92270660604436</v>
      </c>
      <c r="AK372">
        <f t="shared" si="26"/>
        <v>2.0501640659474035E-3</v>
      </c>
      <c r="AL372">
        <f t="shared" si="27"/>
        <v>0.74030220756435305</v>
      </c>
      <c r="AQ372">
        <v>0.46244991000000002</v>
      </c>
      <c r="AR372">
        <v>422</v>
      </c>
      <c r="AS372">
        <v>3769</v>
      </c>
      <c r="AT372" s="2">
        <v>370</v>
      </c>
      <c r="AU372">
        <v>3820</v>
      </c>
      <c r="AV372" s="3">
        <v>0.61299610000000004</v>
      </c>
      <c r="AW372">
        <v>3820</v>
      </c>
      <c r="AX372" s="2">
        <v>31</v>
      </c>
      <c r="AY372">
        <v>3858</v>
      </c>
    </row>
    <row r="373" spans="34:51" x14ac:dyDescent="0.25">
      <c r="AH373">
        <v>371</v>
      </c>
      <c r="AI373">
        <v>3726</v>
      </c>
      <c r="AJ373">
        <f t="shared" si="25"/>
        <v>514.71229200214702</v>
      </c>
      <c r="AK373">
        <f t="shared" si="26"/>
        <v>2.0573170806702473E-3</v>
      </c>
      <c r="AL373">
        <f t="shared" si="27"/>
        <v>0.74235952464502331</v>
      </c>
      <c r="AQ373">
        <v>0.35323197000000001</v>
      </c>
      <c r="AR373">
        <v>58</v>
      </c>
      <c r="AS373">
        <v>3650</v>
      </c>
      <c r="AT373" s="2">
        <v>371</v>
      </c>
      <c r="AU373">
        <v>3855</v>
      </c>
      <c r="AV373" s="4">
        <v>2.3785770000000001E-2</v>
      </c>
      <c r="AW373">
        <v>3855</v>
      </c>
      <c r="AX373" s="2">
        <v>250</v>
      </c>
      <c r="AY373">
        <v>3858</v>
      </c>
    </row>
    <row r="374" spans="34:51" x14ac:dyDescent="0.25">
      <c r="AH374">
        <v>372</v>
      </c>
      <c r="AI374">
        <v>3904</v>
      </c>
      <c r="AJ374">
        <f t="shared" si="25"/>
        <v>491.24436475409834</v>
      </c>
      <c r="AK374">
        <f t="shared" si="26"/>
        <v>1.9635152260700159E-3</v>
      </c>
      <c r="AL374">
        <f t="shared" si="27"/>
        <v>0.74432303987109327</v>
      </c>
      <c r="AQ374">
        <v>0.53604936999999997</v>
      </c>
      <c r="AR374">
        <v>448</v>
      </c>
      <c r="AS374">
        <v>3565</v>
      </c>
      <c r="AT374" s="2">
        <v>372</v>
      </c>
      <c r="AU374">
        <v>3779</v>
      </c>
      <c r="AV374" s="3">
        <v>0.70787168</v>
      </c>
      <c r="AW374">
        <v>3779</v>
      </c>
      <c r="AX374" s="2">
        <v>132</v>
      </c>
      <c r="AY374">
        <v>3858</v>
      </c>
    </row>
    <row r="375" spans="34:51" x14ac:dyDescent="0.25">
      <c r="AH375">
        <v>373</v>
      </c>
      <c r="AI375">
        <v>3840</v>
      </c>
      <c r="AJ375">
        <f t="shared" si="25"/>
        <v>499.43177083333336</v>
      </c>
      <c r="AK375">
        <f t="shared" si="26"/>
        <v>1.9962404798378494E-3</v>
      </c>
      <c r="AL375">
        <f t="shared" si="27"/>
        <v>0.74631928035093109</v>
      </c>
      <c r="AQ375">
        <v>0.10960644</v>
      </c>
      <c r="AR375">
        <v>475</v>
      </c>
      <c r="AS375">
        <v>3735</v>
      </c>
      <c r="AT375" s="2">
        <v>373</v>
      </c>
      <c r="AU375">
        <v>3668</v>
      </c>
      <c r="AV375" s="4">
        <v>3.6278190000000002E-2</v>
      </c>
      <c r="AW375">
        <v>3668</v>
      </c>
      <c r="AX375" s="2">
        <v>357</v>
      </c>
      <c r="AY375">
        <v>3858</v>
      </c>
    </row>
    <row r="376" spans="34:51" x14ac:dyDescent="0.25">
      <c r="AH376">
        <v>374</v>
      </c>
      <c r="AI376">
        <v>3932</v>
      </c>
      <c r="AJ376">
        <f t="shared" si="25"/>
        <v>487.74618514750762</v>
      </c>
      <c r="AK376">
        <f t="shared" si="26"/>
        <v>1.9495329202892527E-3</v>
      </c>
      <c r="AL376">
        <f t="shared" si="27"/>
        <v>0.7482688132712203</v>
      </c>
      <c r="AQ376">
        <v>0.96040738000000003</v>
      </c>
      <c r="AR376">
        <v>47</v>
      </c>
      <c r="AS376">
        <v>3665</v>
      </c>
      <c r="AT376" s="2">
        <v>374</v>
      </c>
      <c r="AU376">
        <v>3712</v>
      </c>
      <c r="AV376" s="3">
        <v>0.80392598999999998</v>
      </c>
      <c r="AW376">
        <v>3712</v>
      </c>
      <c r="AX376" s="2">
        <v>491</v>
      </c>
      <c r="AY376">
        <v>3861</v>
      </c>
    </row>
    <row r="377" spans="34:51" x14ac:dyDescent="0.25">
      <c r="AH377">
        <v>375</v>
      </c>
      <c r="AI377">
        <v>3819</v>
      </c>
      <c r="AJ377">
        <f t="shared" si="25"/>
        <v>502.17805708300602</v>
      </c>
      <c r="AK377">
        <f t="shared" si="26"/>
        <v>2.0072174502690082E-3</v>
      </c>
      <c r="AL377">
        <f t="shared" si="27"/>
        <v>0.7502760307214893</v>
      </c>
      <c r="AQ377">
        <v>0.88108808000000005</v>
      </c>
      <c r="AR377">
        <v>5</v>
      </c>
      <c r="AS377">
        <v>3771</v>
      </c>
      <c r="AT377" s="2">
        <v>375</v>
      </c>
      <c r="AU377">
        <v>3857</v>
      </c>
      <c r="AV377" s="3">
        <v>0.81476563000000002</v>
      </c>
      <c r="AW377">
        <v>3857</v>
      </c>
      <c r="AX377" s="2">
        <v>147</v>
      </c>
      <c r="AY377">
        <v>3863</v>
      </c>
    </row>
    <row r="378" spans="34:51" x14ac:dyDescent="0.25">
      <c r="AH378">
        <v>376</v>
      </c>
      <c r="AI378">
        <v>3938</v>
      </c>
      <c r="AJ378">
        <f t="shared" si="25"/>
        <v>487.00304723209752</v>
      </c>
      <c r="AK378">
        <f t="shared" si="26"/>
        <v>1.9465625806443225E-3</v>
      </c>
      <c r="AL378">
        <f t="shared" si="27"/>
        <v>0.75222259330213359</v>
      </c>
      <c r="AQ378">
        <v>0.13729548</v>
      </c>
      <c r="AR378">
        <v>130</v>
      </c>
      <c r="AS378">
        <v>3839</v>
      </c>
      <c r="AT378" s="2">
        <v>376</v>
      </c>
      <c r="AU378">
        <v>3818</v>
      </c>
      <c r="AV378" s="3">
        <v>0.31856263000000001</v>
      </c>
      <c r="AW378">
        <v>3818</v>
      </c>
      <c r="AX378" s="2">
        <v>181</v>
      </c>
      <c r="AY378">
        <v>3864</v>
      </c>
    </row>
    <row r="379" spans="34:51" x14ac:dyDescent="0.25">
      <c r="AH379">
        <v>377</v>
      </c>
      <c r="AI379">
        <v>3870</v>
      </c>
      <c r="AJ379">
        <f t="shared" si="25"/>
        <v>495.56020671834625</v>
      </c>
      <c r="AK379">
        <f t="shared" si="26"/>
        <v>1.9807657474360057E-3</v>
      </c>
      <c r="AL379">
        <f t="shared" si="27"/>
        <v>0.75420335904956959</v>
      </c>
      <c r="AQ379">
        <v>1.4247299999999999E-3</v>
      </c>
      <c r="AR379">
        <v>268</v>
      </c>
      <c r="AS379">
        <v>3789</v>
      </c>
      <c r="AT379" s="2">
        <v>377</v>
      </c>
      <c r="AU379">
        <v>3780</v>
      </c>
      <c r="AV379" s="3">
        <v>0.38572389000000001</v>
      </c>
      <c r="AW379">
        <v>3780</v>
      </c>
      <c r="AX379" s="2">
        <v>164</v>
      </c>
      <c r="AY379">
        <v>3865</v>
      </c>
    </row>
    <row r="380" spans="34:51" x14ac:dyDescent="0.25">
      <c r="AH380">
        <v>378</v>
      </c>
      <c r="AI380">
        <v>3698</v>
      </c>
      <c r="AJ380">
        <f t="shared" si="25"/>
        <v>518.60951865873449</v>
      </c>
      <c r="AK380">
        <f t="shared" si="26"/>
        <v>2.0728943868516341E-3</v>
      </c>
      <c r="AL380">
        <f t="shared" si="27"/>
        <v>0.75627625343642124</v>
      </c>
      <c r="AQ380">
        <v>0.44828259999999998</v>
      </c>
      <c r="AR380">
        <v>232</v>
      </c>
      <c r="AS380">
        <v>3810</v>
      </c>
      <c r="AT380" s="2">
        <v>378</v>
      </c>
      <c r="AU380">
        <v>3802</v>
      </c>
      <c r="AV380" s="3">
        <v>0.88608335999999999</v>
      </c>
      <c r="AW380">
        <v>3802</v>
      </c>
      <c r="AX380" s="2">
        <v>383</v>
      </c>
      <c r="AY380">
        <v>3865</v>
      </c>
    </row>
    <row r="381" spans="34:51" x14ac:dyDescent="0.25">
      <c r="AH381">
        <v>379</v>
      </c>
      <c r="AI381">
        <v>3696</v>
      </c>
      <c r="AJ381">
        <f t="shared" si="25"/>
        <v>518.8901515151515</v>
      </c>
      <c r="AK381">
        <f t="shared" si="26"/>
        <v>2.0740160829484148E-3</v>
      </c>
      <c r="AL381">
        <f t="shared" si="27"/>
        <v>0.75835026951936968</v>
      </c>
      <c r="AQ381">
        <v>0.17747217000000001</v>
      </c>
      <c r="AR381">
        <v>397</v>
      </c>
      <c r="AS381">
        <v>3597</v>
      </c>
      <c r="AT381" s="2">
        <v>379</v>
      </c>
      <c r="AU381">
        <v>3631</v>
      </c>
      <c r="AV381" s="3">
        <v>0.96697515000000001</v>
      </c>
      <c r="AW381">
        <v>3631</v>
      </c>
      <c r="AX381" s="2">
        <v>448</v>
      </c>
      <c r="AY381">
        <v>3866</v>
      </c>
    </row>
    <row r="382" spans="34:51" x14ac:dyDescent="0.25">
      <c r="AH382">
        <v>380</v>
      </c>
      <c r="AI382">
        <v>3806</v>
      </c>
      <c r="AJ382">
        <f t="shared" si="25"/>
        <v>503.89332632685233</v>
      </c>
      <c r="AK382">
        <f t="shared" si="26"/>
        <v>2.0140734215915242E-3</v>
      </c>
      <c r="AL382">
        <f t="shared" si="27"/>
        <v>0.76036434294096122</v>
      </c>
      <c r="AQ382">
        <v>0.2181139</v>
      </c>
      <c r="AR382">
        <v>52</v>
      </c>
      <c r="AS382">
        <v>3681</v>
      </c>
      <c r="AT382" s="2">
        <v>380</v>
      </c>
      <c r="AU382">
        <v>3690</v>
      </c>
      <c r="AV382" s="3">
        <v>0.91588913999999999</v>
      </c>
      <c r="AW382">
        <v>3690</v>
      </c>
      <c r="AX382" s="2">
        <v>457</v>
      </c>
      <c r="AY382">
        <v>3867</v>
      </c>
    </row>
    <row r="383" spans="34:51" x14ac:dyDescent="0.25">
      <c r="AH383">
        <v>381</v>
      </c>
      <c r="AI383">
        <v>3728</v>
      </c>
      <c r="AJ383">
        <f t="shared" si="25"/>
        <v>514.43615879828326</v>
      </c>
      <c r="AK383">
        <f t="shared" si="26"/>
        <v>2.0562133697900596E-3</v>
      </c>
      <c r="AL383">
        <f t="shared" si="27"/>
        <v>0.76242055631075123</v>
      </c>
      <c r="AQ383">
        <v>9.905738E-2</v>
      </c>
      <c r="AR383">
        <v>23</v>
      </c>
      <c r="AS383">
        <v>3827</v>
      </c>
      <c r="AT383" s="2">
        <v>381</v>
      </c>
      <c r="AU383">
        <v>3932</v>
      </c>
      <c r="AV383" s="3">
        <v>0.68187909999999996</v>
      </c>
      <c r="AW383">
        <v>3932</v>
      </c>
      <c r="AX383" s="2">
        <v>476</v>
      </c>
      <c r="AY383">
        <v>3867</v>
      </c>
    </row>
    <row r="384" spans="34:51" x14ac:dyDescent="0.25">
      <c r="AH384">
        <v>382</v>
      </c>
      <c r="AI384">
        <v>3713</v>
      </c>
      <c r="AJ384">
        <f t="shared" si="25"/>
        <v>516.51440883382713</v>
      </c>
      <c r="AK384">
        <f t="shared" si="26"/>
        <v>2.0645201838344579E-3</v>
      </c>
      <c r="AL384">
        <f t="shared" si="27"/>
        <v>0.76448507649458564</v>
      </c>
      <c r="AQ384">
        <v>0.38512099</v>
      </c>
      <c r="AR384">
        <v>445</v>
      </c>
      <c r="AS384">
        <v>3937</v>
      </c>
      <c r="AT384" s="2">
        <v>382</v>
      </c>
      <c r="AU384">
        <v>3838</v>
      </c>
      <c r="AV384" s="3">
        <v>0.98321342</v>
      </c>
      <c r="AW384">
        <v>3838</v>
      </c>
      <c r="AX384" s="2">
        <v>373</v>
      </c>
      <c r="AY384">
        <v>3868</v>
      </c>
    </row>
    <row r="385" spans="34:51" x14ac:dyDescent="0.25">
      <c r="AH385">
        <v>383</v>
      </c>
      <c r="AI385">
        <v>3798</v>
      </c>
      <c r="AJ385">
        <f t="shared" si="25"/>
        <v>504.95471300684574</v>
      </c>
      <c r="AK385">
        <f t="shared" si="26"/>
        <v>2.0183158089987735E-3</v>
      </c>
      <c r="AL385">
        <f t="shared" si="27"/>
        <v>0.76650339230358444</v>
      </c>
      <c r="AQ385">
        <v>0.92774802000000001</v>
      </c>
      <c r="AR385">
        <v>47</v>
      </c>
      <c r="AS385">
        <v>3665</v>
      </c>
      <c r="AT385" s="2">
        <v>383</v>
      </c>
      <c r="AU385">
        <v>3836</v>
      </c>
      <c r="AV385" s="3">
        <v>0.96879786000000001</v>
      </c>
      <c r="AW385">
        <v>3836</v>
      </c>
      <c r="AX385" s="2">
        <v>215</v>
      </c>
      <c r="AY385">
        <v>3868</v>
      </c>
    </row>
    <row r="386" spans="34:51" x14ac:dyDescent="0.25">
      <c r="AH386">
        <v>384</v>
      </c>
      <c r="AI386">
        <v>3824</v>
      </c>
      <c r="AJ386">
        <f t="shared" si="25"/>
        <v>501.52144351464437</v>
      </c>
      <c r="AK386">
        <f t="shared" si="26"/>
        <v>2.0045929504647862E-3</v>
      </c>
      <c r="AL386">
        <f t="shared" si="27"/>
        <v>0.76850798525404918</v>
      </c>
      <c r="AQ386">
        <v>0.53491330000000004</v>
      </c>
      <c r="AR386">
        <v>216</v>
      </c>
      <c r="AS386">
        <v>3748</v>
      </c>
      <c r="AT386" s="2">
        <v>384</v>
      </c>
      <c r="AU386">
        <v>3922</v>
      </c>
      <c r="AV386" s="3">
        <v>0.28078234000000002</v>
      </c>
      <c r="AW386">
        <v>3922</v>
      </c>
      <c r="AX386" s="2">
        <v>125</v>
      </c>
      <c r="AY386">
        <v>3868</v>
      </c>
    </row>
    <row r="387" spans="34:51" x14ac:dyDescent="0.25">
      <c r="AH387">
        <v>385</v>
      </c>
      <c r="AI387">
        <v>3917</v>
      </c>
      <c r="AJ387">
        <f t="shared" si="25"/>
        <v>489.61399029869796</v>
      </c>
      <c r="AK387">
        <f t="shared" si="26"/>
        <v>1.9569985812043253E-3</v>
      </c>
      <c r="AL387">
        <f t="shared" si="27"/>
        <v>0.77046498383525353</v>
      </c>
      <c r="AQ387">
        <v>0.69577831000000001</v>
      </c>
      <c r="AR387">
        <v>287</v>
      </c>
      <c r="AS387">
        <v>3891</v>
      </c>
      <c r="AT387" s="2">
        <v>385</v>
      </c>
      <c r="AU387">
        <v>3935</v>
      </c>
      <c r="AV387" s="3">
        <v>0.72611552000000001</v>
      </c>
      <c r="AW387">
        <v>3935</v>
      </c>
      <c r="AX387" s="2">
        <v>415</v>
      </c>
      <c r="AY387">
        <v>3868</v>
      </c>
    </row>
    <row r="388" spans="34:51" x14ac:dyDescent="0.25">
      <c r="AH388">
        <v>386</v>
      </c>
      <c r="AI388">
        <v>3938</v>
      </c>
      <c r="AJ388">
        <f t="shared" ref="AJ388:AJ451" si="28">$AI$504/AI388</f>
        <v>487.00304723209752</v>
      </c>
      <c r="AK388">
        <f t="shared" ref="AK388:AK451" si="29">AJ388/$AJ$504</f>
        <v>1.9465625806443225E-3</v>
      </c>
      <c r="AL388">
        <f t="shared" ref="AL388:AL451" si="30">AK388+AL387</f>
        <v>0.77241154641589782</v>
      </c>
      <c r="AQ388">
        <v>0.20360075999999999</v>
      </c>
      <c r="AR388">
        <v>263</v>
      </c>
      <c r="AS388">
        <v>3820</v>
      </c>
      <c r="AT388" s="2">
        <v>386</v>
      </c>
      <c r="AU388">
        <v>3845</v>
      </c>
      <c r="AV388" s="3">
        <v>0.68375611000000003</v>
      </c>
      <c r="AW388">
        <v>3845</v>
      </c>
      <c r="AX388" s="2">
        <v>261</v>
      </c>
      <c r="AY388">
        <v>3869</v>
      </c>
    </row>
    <row r="389" spans="34:51" x14ac:dyDescent="0.25">
      <c r="AH389">
        <v>387</v>
      </c>
      <c r="AI389">
        <v>3685</v>
      </c>
      <c r="AJ389">
        <f t="shared" si="28"/>
        <v>520.43907734056984</v>
      </c>
      <c r="AK389">
        <f t="shared" si="29"/>
        <v>2.0802071757333356E-3</v>
      </c>
      <c r="AL389">
        <f t="shared" si="30"/>
        <v>0.77449175359163114</v>
      </c>
      <c r="AQ389">
        <v>0.89638096</v>
      </c>
      <c r="AR389">
        <v>402</v>
      </c>
      <c r="AS389">
        <v>3722</v>
      </c>
      <c r="AT389" s="2">
        <v>387</v>
      </c>
      <c r="AU389">
        <v>3651</v>
      </c>
      <c r="AV389" s="3">
        <v>0.61741394000000005</v>
      </c>
      <c r="AW389">
        <v>3651</v>
      </c>
      <c r="AX389" s="2">
        <v>95</v>
      </c>
      <c r="AY389">
        <v>3869</v>
      </c>
    </row>
    <row r="390" spans="34:51" x14ac:dyDescent="0.25">
      <c r="AH390">
        <v>388</v>
      </c>
      <c r="AI390">
        <v>3801</v>
      </c>
      <c r="AJ390">
        <f t="shared" si="28"/>
        <v>504.55616942909762</v>
      </c>
      <c r="AK390">
        <f t="shared" si="29"/>
        <v>2.016722820988514E-3</v>
      </c>
      <c r="AL390">
        <f t="shared" si="30"/>
        <v>0.77650847641261966</v>
      </c>
      <c r="AQ390">
        <v>0.6067977</v>
      </c>
      <c r="AR390">
        <v>110</v>
      </c>
      <c r="AS390">
        <v>3764</v>
      </c>
      <c r="AT390" s="2">
        <v>388</v>
      </c>
      <c r="AU390">
        <v>3824</v>
      </c>
      <c r="AV390" s="3">
        <v>0.33420169</v>
      </c>
      <c r="AW390">
        <v>3824</v>
      </c>
      <c r="AX390" s="2">
        <v>228</v>
      </c>
      <c r="AY390">
        <v>3869</v>
      </c>
    </row>
    <row r="391" spans="34:51" x14ac:dyDescent="0.25">
      <c r="AH391">
        <v>389</v>
      </c>
      <c r="AI391">
        <v>3996</v>
      </c>
      <c r="AJ391">
        <f t="shared" si="28"/>
        <v>479.93443443443442</v>
      </c>
      <c r="AK391">
        <f t="shared" si="29"/>
        <v>1.9183091698141495E-3</v>
      </c>
      <c r="AL391">
        <f t="shared" si="30"/>
        <v>0.77842678558243383</v>
      </c>
      <c r="AQ391">
        <v>0.79677551999999996</v>
      </c>
      <c r="AR391">
        <v>278</v>
      </c>
      <c r="AS391">
        <v>3753</v>
      </c>
      <c r="AT391" s="2">
        <v>389</v>
      </c>
      <c r="AU391">
        <v>3917</v>
      </c>
      <c r="AV391" s="3">
        <v>0.81805474</v>
      </c>
      <c r="AW391">
        <v>3917</v>
      </c>
      <c r="AX391" s="2">
        <v>150</v>
      </c>
      <c r="AY391">
        <v>3870</v>
      </c>
    </row>
    <row r="392" spans="34:51" x14ac:dyDescent="0.25">
      <c r="AH392">
        <v>390</v>
      </c>
      <c r="AI392">
        <v>3926</v>
      </c>
      <c r="AJ392">
        <f t="shared" si="28"/>
        <v>488.49159449821701</v>
      </c>
      <c r="AK392">
        <f t="shared" si="29"/>
        <v>1.9525123389142491E-3</v>
      </c>
      <c r="AL392">
        <f t="shared" si="30"/>
        <v>0.78037929792134808</v>
      </c>
      <c r="AQ392">
        <v>0.20065796</v>
      </c>
      <c r="AR392">
        <v>268</v>
      </c>
      <c r="AS392">
        <v>3789</v>
      </c>
      <c r="AT392" s="2">
        <v>390</v>
      </c>
      <c r="AU392">
        <v>3839</v>
      </c>
      <c r="AV392" s="3">
        <v>0.90134667999999996</v>
      </c>
      <c r="AW392">
        <v>3839</v>
      </c>
      <c r="AX392" s="2">
        <v>306</v>
      </c>
      <c r="AY392">
        <v>3870</v>
      </c>
    </row>
    <row r="393" spans="34:51" x14ac:dyDescent="0.25">
      <c r="AH393">
        <v>391</v>
      </c>
      <c r="AI393">
        <v>3834</v>
      </c>
      <c r="AJ393">
        <f t="shared" si="28"/>
        <v>500.2133541992697</v>
      </c>
      <c r="AK393">
        <f t="shared" si="29"/>
        <v>1.9993644868485502E-3</v>
      </c>
      <c r="AL393">
        <f t="shared" si="30"/>
        <v>0.78237866240819665</v>
      </c>
      <c r="AQ393">
        <v>0.25506287999999999</v>
      </c>
      <c r="AR393">
        <v>207</v>
      </c>
      <c r="AS393">
        <v>3791</v>
      </c>
      <c r="AT393" s="2">
        <v>391</v>
      </c>
      <c r="AU393">
        <v>3798</v>
      </c>
      <c r="AV393" s="3">
        <v>0.73441761999999999</v>
      </c>
      <c r="AW393">
        <v>3798</v>
      </c>
      <c r="AX393" s="2">
        <v>459</v>
      </c>
      <c r="AY393">
        <v>3871</v>
      </c>
    </row>
    <row r="394" spans="34:51" x14ac:dyDescent="0.25">
      <c r="AH394">
        <v>392</v>
      </c>
      <c r="AI394">
        <v>3822</v>
      </c>
      <c r="AJ394">
        <f t="shared" si="28"/>
        <v>501.7838827838828</v>
      </c>
      <c r="AK394">
        <f t="shared" si="29"/>
        <v>2.0056419263676981E-3</v>
      </c>
      <c r="AL394">
        <f t="shared" si="30"/>
        <v>0.7843843043345643</v>
      </c>
      <c r="AQ394">
        <v>0.73119140000000005</v>
      </c>
      <c r="AR394">
        <v>352</v>
      </c>
      <c r="AS394">
        <v>3739</v>
      </c>
      <c r="AT394" s="2">
        <v>392</v>
      </c>
      <c r="AU394">
        <v>3800</v>
      </c>
      <c r="AV394" s="3">
        <v>0.92386447999999999</v>
      </c>
      <c r="AW394">
        <v>3800</v>
      </c>
      <c r="AX394" s="2">
        <v>269</v>
      </c>
      <c r="AY394">
        <v>3871</v>
      </c>
    </row>
    <row r="395" spans="34:51" x14ac:dyDescent="0.25">
      <c r="AH395">
        <v>393</v>
      </c>
      <c r="AI395">
        <v>3681</v>
      </c>
      <c r="AJ395">
        <f t="shared" si="28"/>
        <v>521.00461831024177</v>
      </c>
      <c r="AK395">
        <f t="shared" si="29"/>
        <v>2.0824676562285634E-3</v>
      </c>
      <c r="AL395">
        <f t="shared" si="30"/>
        <v>0.78646677199079285</v>
      </c>
      <c r="AQ395">
        <v>7.2276060000000003E-2</v>
      </c>
      <c r="AR395">
        <v>87</v>
      </c>
      <c r="AS395">
        <v>3744</v>
      </c>
      <c r="AT395" s="2">
        <v>393</v>
      </c>
      <c r="AU395">
        <v>3840</v>
      </c>
      <c r="AV395" s="3">
        <v>0.47704488</v>
      </c>
      <c r="AW395">
        <v>3840</v>
      </c>
      <c r="AX395" s="2">
        <v>300</v>
      </c>
      <c r="AY395">
        <v>3871</v>
      </c>
    </row>
    <row r="396" spans="34:51" x14ac:dyDescent="0.25">
      <c r="AH396">
        <v>394</v>
      </c>
      <c r="AI396">
        <v>3779</v>
      </c>
      <c r="AJ396">
        <f t="shared" si="28"/>
        <v>507.49351680338714</v>
      </c>
      <c r="AK396">
        <f t="shared" si="29"/>
        <v>2.0284634672075529E-3</v>
      </c>
      <c r="AL396">
        <f t="shared" si="30"/>
        <v>0.78849523545800038</v>
      </c>
      <c r="AQ396">
        <v>0.67811142999999996</v>
      </c>
      <c r="AR396">
        <v>269</v>
      </c>
      <c r="AS396">
        <v>3916</v>
      </c>
      <c r="AT396" s="2">
        <v>394</v>
      </c>
      <c r="AU396">
        <v>3916</v>
      </c>
      <c r="AV396" s="3">
        <v>0.89044069999999997</v>
      </c>
      <c r="AW396">
        <v>3916</v>
      </c>
      <c r="AX396" s="2">
        <v>360</v>
      </c>
      <c r="AY396">
        <v>3873</v>
      </c>
    </row>
    <row r="397" spans="34:51" x14ac:dyDescent="0.25">
      <c r="AH397">
        <v>395</v>
      </c>
      <c r="AI397">
        <v>3772</v>
      </c>
      <c r="AJ397">
        <f t="shared" si="28"/>
        <v>508.43531283138918</v>
      </c>
      <c r="AK397">
        <f t="shared" si="29"/>
        <v>2.0322278479791467E-3</v>
      </c>
      <c r="AL397">
        <f t="shared" si="30"/>
        <v>0.79052746330597956</v>
      </c>
      <c r="AQ397">
        <v>0.16083723</v>
      </c>
      <c r="AR397">
        <v>239</v>
      </c>
      <c r="AS397">
        <v>3729</v>
      </c>
      <c r="AT397" s="2">
        <v>395</v>
      </c>
      <c r="AU397">
        <v>3729</v>
      </c>
      <c r="AV397" s="3">
        <v>0.1189422</v>
      </c>
      <c r="AW397">
        <v>3729</v>
      </c>
      <c r="AX397" s="2">
        <v>325</v>
      </c>
      <c r="AY397">
        <v>3873</v>
      </c>
    </row>
    <row r="398" spans="34:51" x14ac:dyDescent="0.25">
      <c r="AH398">
        <v>396</v>
      </c>
      <c r="AI398">
        <v>3943</v>
      </c>
      <c r="AJ398">
        <f t="shared" si="28"/>
        <v>486.38549327922902</v>
      </c>
      <c r="AK398">
        <f t="shared" si="29"/>
        <v>1.9440942030376216E-3</v>
      </c>
      <c r="AL398">
        <f t="shared" si="30"/>
        <v>0.79247155750901721</v>
      </c>
      <c r="AQ398">
        <v>0.24946404</v>
      </c>
      <c r="AR398">
        <v>93</v>
      </c>
      <c r="AS398">
        <v>3840</v>
      </c>
      <c r="AT398" s="2">
        <v>396</v>
      </c>
      <c r="AU398">
        <v>3840</v>
      </c>
      <c r="AV398" s="3">
        <v>0.96487080999999997</v>
      </c>
      <c r="AW398">
        <v>3840</v>
      </c>
      <c r="AX398" s="2">
        <v>247</v>
      </c>
      <c r="AY398">
        <v>3873</v>
      </c>
    </row>
    <row r="399" spans="34:51" x14ac:dyDescent="0.25">
      <c r="AH399">
        <v>397</v>
      </c>
      <c r="AI399">
        <v>3597</v>
      </c>
      <c r="AJ399">
        <f t="shared" si="28"/>
        <v>533.17153183208234</v>
      </c>
      <c r="AK399">
        <f t="shared" si="29"/>
        <v>2.1310990944057111E-3</v>
      </c>
      <c r="AL399">
        <f t="shared" si="30"/>
        <v>0.79460265660342289</v>
      </c>
      <c r="AQ399">
        <v>6.0671030000000001E-2</v>
      </c>
      <c r="AR399">
        <v>164</v>
      </c>
      <c r="AS399">
        <v>3893</v>
      </c>
      <c r="AT399" s="2">
        <v>397</v>
      </c>
      <c r="AU399">
        <v>3842</v>
      </c>
      <c r="AV399" s="4">
        <v>2.0285669999999999E-2</v>
      </c>
      <c r="AW399">
        <v>3847</v>
      </c>
      <c r="AX399" s="2">
        <v>498</v>
      </c>
      <c r="AY399">
        <v>3874</v>
      </c>
    </row>
    <row r="400" spans="34:51" x14ac:dyDescent="0.25">
      <c r="AH400">
        <v>398</v>
      </c>
      <c r="AI400">
        <v>3809</v>
      </c>
      <c r="AJ400">
        <f t="shared" si="28"/>
        <v>503.49645576266738</v>
      </c>
      <c r="AK400">
        <f t="shared" si="29"/>
        <v>2.0124871206556425E-3</v>
      </c>
      <c r="AL400">
        <f t="shared" si="30"/>
        <v>0.79661514372407849</v>
      </c>
      <c r="AQ400">
        <v>0.33328784</v>
      </c>
      <c r="AR400">
        <v>216</v>
      </c>
      <c r="AS400">
        <v>3748</v>
      </c>
      <c r="AT400" s="2">
        <v>398</v>
      </c>
      <c r="AU400">
        <v>3811</v>
      </c>
      <c r="AV400" s="3">
        <v>0.83032857999999998</v>
      </c>
      <c r="AW400">
        <v>3811</v>
      </c>
      <c r="AX400" s="2">
        <v>494</v>
      </c>
      <c r="AY400">
        <v>3875</v>
      </c>
    </row>
    <row r="401" spans="34:51" x14ac:dyDescent="0.25">
      <c r="AH401">
        <v>399</v>
      </c>
      <c r="AI401">
        <v>3979</v>
      </c>
      <c r="AJ401">
        <f t="shared" si="28"/>
        <v>481.98492083438049</v>
      </c>
      <c r="AK401">
        <f t="shared" si="29"/>
        <v>1.9265050119571102E-3</v>
      </c>
      <c r="AL401">
        <f t="shared" si="30"/>
        <v>0.79854164873603561</v>
      </c>
      <c r="AQ401">
        <v>0.58422404999999999</v>
      </c>
      <c r="AR401">
        <v>139</v>
      </c>
      <c r="AS401">
        <v>3835</v>
      </c>
      <c r="AT401" s="2">
        <v>399</v>
      </c>
      <c r="AU401">
        <v>3998</v>
      </c>
      <c r="AV401" s="3">
        <v>0.39095336000000003</v>
      </c>
      <c r="AW401">
        <v>3998</v>
      </c>
      <c r="AX401" s="2">
        <v>77</v>
      </c>
      <c r="AY401">
        <v>3875</v>
      </c>
    </row>
    <row r="402" spans="34:51" x14ac:dyDescent="0.25">
      <c r="AH402">
        <v>400</v>
      </c>
      <c r="AI402">
        <v>3910</v>
      </c>
      <c r="AJ402">
        <f t="shared" si="28"/>
        <v>490.49053708439897</v>
      </c>
      <c r="AK402">
        <f t="shared" si="29"/>
        <v>1.9605021592269418E-3</v>
      </c>
      <c r="AL402">
        <f t="shared" si="30"/>
        <v>0.80050215089526255</v>
      </c>
      <c r="AQ402">
        <v>6.2555550000000001E-2</v>
      </c>
      <c r="AR402">
        <v>297</v>
      </c>
      <c r="AS402">
        <v>3788</v>
      </c>
      <c r="AT402" s="2">
        <v>400</v>
      </c>
      <c r="AU402">
        <v>3725</v>
      </c>
      <c r="AV402" s="3">
        <v>0.74881291000000005</v>
      </c>
      <c r="AW402">
        <v>3725</v>
      </c>
      <c r="AX402" s="2">
        <v>248</v>
      </c>
      <c r="AY402">
        <v>3875</v>
      </c>
    </row>
    <row r="403" spans="34:51" x14ac:dyDescent="0.25">
      <c r="AH403">
        <v>401</v>
      </c>
      <c r="AI403">
        <v>3761</v>
      </c>
      <c r="AJ403">
        <f t="shared" si="28"/>
        <v>509.92236107418239</v>
      </c>
      <c r="AK403">
        <f t="shared" si="29"/>
        <v>2.0381716146177457E-3</v>
      </c>
      <c r="AL403">
        <f t="shared" si="30"/>
        <v>0.80254032250988028</v>
      </c>
      <c r="AQ403">
        <v>0.62164061999999998</v>
      </c>
      <c r="AR403">
        <v>130</v>
      </c>
      <c r="AS403">
        <v>3839</v>
      </c>
      <c r="AT403" s="2">
        <v>401</v>
      </c>
      <c r="AU403">
        <v>3794</v>
      </c>
      <c r="AV403" s="3">
        <v>0.24353259999999999</v>
      </c>
      <c r="AW403">
        <v>3794</v>
      </c>
      <c r="AX403" s="2">
        <v>264</v>
      </c>
      <c r="AY403">
        <v>3876</v>
      </c>
    </row>
    <row r="404" spans="34:51" x14ac:dyDescent="0.25">
      <c r="AH404">
        <v>402</v>
      </c>
      <c r="AI404">
        <v>3722</v>
      </c>
      <c r="AJ404">
        <f t="shared" si="28"/>
        <v>515.26544868350345</v>
      </c>
      <c r="AK404">
        <f t="shared" si="29"/>
        <v>2.0595280608751588E-3</v>
      </c>
      <c r="AL404">
        <f t="shared" si="30"/>
        <v>0.80459985057075545</v>
      </c>
      <c r="AQ404">
        <v>0.89964664000000005</v>
      </c>
      <c r="AR404">
        <v>126</v>
      </c>
      <c r="AS404">
        <v>3671</v>
      </c>
      <c r="AT404" s="2">
        <v>402</v>
      </c>
      <c r="AU404">
        <v>3769</v>
      </c>
      <c r="AV404" s="3">
        <v>0.99197853000000002</v>
      </c>
      <c r="AW404">
        <v>3769</v>
      </c>
      <c r="AX404" s="2">
        <v>120</v>
      </c>
      <c r="AY404">
        <v>3876</v>
      </c>
    </row>
    <row r="405" spans="34:51" x14ac:dyDescent="0.25">
      <c r="AH405">
        <v>403</v>
      </c>
      <c r="AI405">
        <v>3830</v>
      </c>
      <c r="AJ405">
        <f t="shared" si="28"/>
        <v>500.73577023498694</v>
      </c>
      <c r="AK405">
        <f t="shared" si="29"/>
        <v>2.0014525959731961E-3</v>
      </c>
      <c r="AL405">
        <f t="shared" si="30"/>
        <v>0.80660130316672862</v>
      </c>
      <c r="AQ405">
        <v>0.38734489999999999</v>
      </c>
      <c r="AR405">
        <v>280</v>
      </c>
      <c r="AS405">
        <v>3851</v>
      </c>
      <c r="AT405" s="2">
        <v>403</v>
      </c>
      <c r="AU405">
        <v>3801</v>
      </c>
      <c r="AV405" s="3">
        <v>0.2363258</v>
      </c>
      <c r="AW405">
        <v>3801</v>
      </c>
      <c r="AX405" s="2">
        <v>346</v>
      </c>
      <c r="AY405">
        <v>3876</v>
      </c>
    </row>
    <row r="406" spans="34:51" x14ac:dyDescent="0.25">
      <c r="AH406">
        <v>404</v>
      </c>
      <c r="AI406">
        <v>3738</v>
      </c>
      <c r="AJ406">
        <f t="shared" si="28"/>
        <v>513.05992509363296</v>
      </c>
      <c r="AK406">
        <f t="shared" si="29"/>
        <v>2.0507125314546126E-3</v>
      </c>
      <c r="AL406">
        <f t="shared" si="30"/>
        <v>0.80865201569818324</v>
      </c>
      <c r="AQ406">
        <v>0.39660119999999999</v>
      </c>
      <c r="AR406">
        <v>384</v>
      </c>
      <c r="AS406">
        <v>3824</v>
      </c>
      <c r="AT406" s="2">
        <v>404</v>
      </c>
      <c r="AU406">
        <v>3729</v>
      </c>
      <c r="AV406" s="3">
        <v>0.4717288</v>
      </c>
      <c r="AW406">
        <v>3729</v>
      </c>
      <c r="AX406" s="2">
        <v>433</v>
      </c>
      <c r="AY406">
        <v>3876</v>
      </c>
    </row>
    <row r="407" spans="34:51" x14ac:dyDescent="0.25">
      <c r="AH407">
        <v>405</v>
      </c>
      <c r="AI407">
        <v>3818</v>
      </c>
      <c r="AJ407">
        <f t="shared" si="28"/>
        <v>502.30958617077005</v>
      </c>
      <c r="AK407">
        <f t="shared" si="29"/>
        <v>2.0077431751119282E-3</v>
      </c>
      <c r="AL407">
        <f t="shared" si="30"/>
        <v>0.81065975887329511</v>
      </c>
      <c r="AQ407">
        <v>0.63927906999999995</v>
      </c>
      <c r="AR407">
        <v>164</v>
      </c>
      <c r="AS407">
        <v>3893</v>
      </c>
      <c r="AT407" s="2">
        <v>405</v>
      </c>
      <c r="AU407">
        <v>3892</v>
      </c>
      <c r="AV407" s="3">
        <v>0.54768532999999997</v>
      </c>
      <c r="AW407">
        <v>3892</v>
      </c>
      <c r="AX407" s="2">
        <v>223</v>
      </c>
      <c r="AY407">
        <v>3877</v>
      </c>
    </row>
    <row r="408" spans="34:51" x14ac:dyDescent="0.25">
      <c r="AH408">
        <v>406</v>
      </c>
      <c r="AI408">
        <v>3884</v>
      </c>
      <c r="AJ408">
        <f t="shared" si="28"/>
        <v>493.77394438722968</v>
      </c>
      <c r="AK408">
        <f t="shared" si="29"/>
        <v>1.973626015081705E-3</v>
      </c>
      <c r="AL408">
        <f t="shared" si="30"/>
        <v>0.81263338488837678</v>
      </c>
      <c r="AQ408">
        <v>3.7405130000000002E-2</v>
      </c>
      <c r="AR408">
        <v>431</v>
      </c>
      <c r="AS408">
        <v>3826</v>
      </c>
      <c r="AT408" s="2">
        <v>406</v>
      </c>
      <c r="AU408">
        <v>3826</v>
      </c>
      <c r="AV408" s="3">
        <v>0.91081917000000001</v>
      </c>
      <c r="AW408">
        <v>3826</v>
      </c>
      <c r="AX408" s="2">
        <v>188</v>
      </c>
      <c r="AY408">
        <v>3877</v>
      </c>
    </row>
    <row r="409" spans="34:51" x14ac:dyDescent="0.25">
      <c r="AH409">
        <v>407</v>
      </c>
      <c r="AI409">
        <v>3808</v>
      </c>
      <c r="AJ409">
        <f t="shared" si="28"/>
        <v>503.62867647058823</v>
      </c>
      <c r="AK409">
        <f t="shared" si="29"/>
        <v>2.0130156099205203E-3</v>
      </c>
      <c r="AL409">
        <f t="shared" si="30"/>
        <v>0.81464640049829729</v>
      </c>
      <c r="AQ409">
        <v>0.65204793000000005</v>
      </c>
      <c r="AR409">
        <v>330</v>
      </c>
      <c r="AS409">
        <v>3807</v>
      </c>
      <c r="AT409" s="2">
        <v>407</v>
      </c>
      <c r="AU409">
        <v>3777</v>
      </c>
      <c r="AV409" s="3">
        <v>0.23590738</v>
      </c>
      <c r="AW409">
        <v>3777</v>
      </c>
      <c r="AX409" s="2">
        <v>107</v>
      </c>
      <c r="AY409">
        <v>3880</v>
      </c>
    </row>
    <row r="410" spans="34:51" x14ac:dyDescent="0.25">
      <c r="AH410">
        <v>408</v>
      </c>
      <c r="AI410">
        <v>4093</v>
      </c>
      <c r="AJ410">
        <f t="shared" si="28"/>
        <v>468.5604690935744</v>
      </c>
      <c r="AK410">
        <f t="shared" si="29"/>
        <v>1.8728471640794874E-3</v>
      </c>
      <c r="AL410">
        <f t="shared" si="30"/>
        <v>0.81651924766237682</v>
      </c>
      <c r="AQ410">
        <v>0.81855655000000005</v>
      </c>
      <c r="AR410">
        <v>435</v>
      </c>
      <c r="AS410">
        <v>3680</v>
      </c>
      <c r="AT410" s="2">
        <v>408</v>
      </c>
      <c r="AU410">
        <v>3828</v>
      </c>
      <c r="AV410" s="3">
        <v>0.45467352999999999</v>
      </c>
      <c r="AW410">
        <v>3828</v>
      </c>
      <c r="AX410" s="2">
        <v>488</v>
      </c>
      <c r="AY410">
        <v>3880</v>
      </c>
    </row>
    <row r="411" spans="34:51" x14ac:dyDescent="0.25">
      <c r="AH411">
        <v>409</v>
      </c>
      <c r="AI411">
        <v>3844</v>
      </c>
      <c r="AJ411">
        <f t="shared" si="28"/>
        <v>498.91207075962541</v>
      </c>
      <c r="AK411">
        <f t="shared" si="29"/>
        <v>1.9941632264769359E-3</v>
      </c>
      <c r="AL411">
        <f t="shared" si="30"/>
        <v>0.81851341088885377</v>
      </c>
      <c r="AQ411">
        <v>0.97521966999999998</v>
      </c>
      <c r="AR411">
        <v>118</v>
      </c>
      <c r="AS411">
        <v>3718</v>
      </c>
      <c r="AT411" s="2">
        <v>409</v>
      </c>
      <c r="AU411">
        <v>3718</v>
      </c>
      <c r="AV411" s="3">
        <v>0.90378278000000001</v>
      </c>
      <c r="AW411">
        <v>3718</v>
      </c>
      <c r="AX411" s="2">
        <v>334</v>
      </c>
      <c r="AY411">
        <v>3880</v>
      </c>
    </row>
    <row r="412" spans="34:51" x14ac:dyDescent="0.25">
      <c r="AH412">
        <v>410</v>
      </c>
      <c r="AI412">
        <v>3781</v>
      </c>
      <c r="AJ412">
        <f t="shared" si="28"/>
        <v>507.22507273208146</v>
      </c>
      <c r="AK412">
        <f t="shared" si="29"/>
        <v>2.0273904899702042E-3</v>
      </c>
      <c r="AL412">
        <f t="shared" si="30"/>
        <v>0.82054080137882401</v>
      </c>
      <c r="AQ412">
        <v>0.47416341000000001</v>
      </c>
      <c r="AR412">
        <v>335</v>
      </c>
      <c r="AS412">
        <v>3793</v>
      </c>
      <c r="AT412" s="2">
        <v>410</v>
      </c>
      <c r="AU412">
        <v>3793</v>
      </c>
      <c r="AV412" s="3">
        <v>0.17773186999999999</v>
      </c>
      <c r="AW412">
        <v>3793</v>
      </c>
      <c r="AX412" s="2">
        <v>482</v>
      </c>
      <c r="AY412">
        <v>3881</v>
      </c>
    </row>
    <row r="413" spans="34:51" x14ac:dyDescent="0.25">
      <c r="AH413">
        <v>411</v>
      </c>
      <c r="AI413">
        <v>3865</v>
      </c>
      <c r="AJ413">
        <f t="shared" si="28"/>
        <v>496.20129366106079</v>
      </c>
      <c r="AK413">
        <f t="shared" si="29"/>
        <v>1.9833281869540342E-3</v>
      </c>
      <c r="AL413">
        <f t="shared" si="30"/>
        <v>0.82252412956577803</v>
      </c>
      <c r="AQ413">
        <v>0.25803285999999998</v>
      </c>
      <c r="AR413">
        <v>99</v>
      </c>
      <c r="AS413">
        <v>3744</v>
      </c>
      <c r="AT413" s="2">
        <v>411</v>
      </c>
      <c r="AU413">
        <v>3807</v>
      </c>
      <c r="AV413" s="3">
        <v>0.67955405000000002</v>
      </c>
      <c r="AW413">
        <v>3807</v>
      </c>
      <c r="AX413" s="2">
        <v>135</v>
      </c>
      <c r="AY413">
        <v>3882</v>
      </c>
    </row>
    <row r="414" spans="34:51" x14ac:dyDescent="0.25">
      <c r="AH414">
        <v>412</v>
      </c>
      <c r="AI414">
        <v>4025</v>
      </c>
      <c r="AJ414">
        <f t="shared" si="28"/>
        <v>476.47652173913042</v>
      </c>
      <c r="AK414">
        <f t="shared" si="29"/>
        <v>1.9044878118204575E-3</v>
      </c>
      <c r="AL414">
        <f t="shared" si="30"/>
        <v>0.82442861737759854</v>
      </c>
      <c r="AQ414">
        <v>0.50182247000000002</v>
      </c>
      <c r="AR414">
        <v>372</v>
      </c>
      <c r="AS414">
        <v>3904</v>
      </c>
      <c r="AT414" s="2">
        <v>412</v>
      </c>
      <c r="AU414">
        <v>3904</v>
      </c>
      <c r="AV414" s="3">
        <v>0.64057922</v>
      </c>
      <c r="AW414">
        <v>3904</v>
      </c>
      <c r="AX414" s="2">
        <v>165</v>
      </c>
      <c r="AY414">
        <v>3883</v>
      </c>
    </row>
    <row r="415" spans="34:51" x14ac:dyDescent="0.25">
      <c r="AH415">
        <v>413</v>
      </c>
      <c r="AI415">
        <v>3752</v>
      </c>
      <c r="AJ415">
        <f t="shared" si="28"/>
        <v>511.1455223880597</v>
      </c>
      <c r="AK415">
        <f t="shared" si="29"/>
        <v>2.0430606190238116E-3</v>
      </c>
      <c r="AL415">
        <f t="shared" si="30"/>
        <v>0.82647167799662236</v>
      </c>
      <c r="AQ415">
        <v>0.67175978000000003</v>
      </c>
      <c r="AR415">
        <v>128</v>
      </c>
      <c r="AS415">
        <v>3815</v>
      </c>
      <c r="AT415" s="2">
        <v>413</v>
      </c>
      <c r="AU415">
        <v>3994</v>
      </c>
      <c r="AV415" s="4">
        <v>4.5528590000000001E-2</v>
      </c>
      <c r="AW415">
        <v>3975</v>
      </c>
      <c r="AX415" s="2">
        <v>266</v>
      </c>
      <c r="AY415">
        <v>3884</v>
      </c>
    </row>
    <row r="416" spans="34:51" x14ac:dyDescent="0.25">
      <c r="AH416">
        <v>414</v>
      </c>
      <c r="AI416">
        <v>3879</v>
      </c>
      <c r="AJ416">
        <f t="shared" si="28"/>
        <v>494.41041505542665</v>
      </c>
      <c r="AK416">
        <f t="shared" si="29"/>
        <v>1.9761700032424187E-3</v>
      </c>
      <c r="AL416">
        <f t="shared" si="30"/>
        <v>0.82844784799986482</v>
      </c>
      <c r="AQ416">
        <v>0.39552938999999998</v>
      </c>
      <c r="AR416">
        <v>86</v>
      </c>
      <c r="AS416">
        <v>3643</v>
      </c>
      <c r="AT416" s="2">
        <v>414</v>
      </c>
      <c r="AU416">
        <v>3696</v>
      </c>
      <c r="AV416" s="3">
        <v>0.65694832999999997</v>
      </c>
      <c r="AW416">
        <v>3696</v>
      </c>
      <c r="AX416" s="2">
        <v>421</v>
      </c>
      <c r="AY416">
        <v>3884</v>
      </c>
    </row>
    <row r="417" spans="34:51" x14ac:dyDescent="0.25">
      <c r="AH417">
        <v>415</v>
      </c>
      <c r="AI417">
        <v>3848</v>
      </c>
      <c r="AJ417">
        <f t="shared" si="28"/>
        <v>498.39345114345116</v>
      </c>
      <c r="AK417">
        <f t="shared" si="29"/>
        <v>1.9920902917300786E-3</v>
      </c>
      <c r="AL417">
        <f t="shared" si="30"/>
        <v>0.8304399382915949</v>
      </c>
      <c r="AQ417">
        <v>0.71097593999999997</v>
      </c>
      <c r="AR417">
        <v>329</v>
      </c>
      <c r="AS417">
        <v>3823</v>
      </c>
      <c r="AT417" s="2">
        <v>415</v>
      </c>
      <c r="AU417">
        <v>3893</v>
      </c>
      <c r="AV417" s="3">
        <v>0.65291542000000002</v>
      </c>
      <c r="AW417">
        <v>3893</v>
      </c>
      <c r="AX417" s="2">
        <v>399</v>
      </c>
      <c r="AY417">
        <v>3884</v>
      </c>
    </row>
    <row r="418" spans="34:51" x14ac:dyDescent="0.25">
      <c r="AH418">
        <v>416</v>
      </c>
      <c r="AI418">
        <v>3938</v>
      </c>
      <c r="AJ418">
        <f t="shared" si="28"/>
        <v>487.00304723209752</v>
      </c>
      <c r="AK418">
        <f t="shared" si="29"/>
        <v>1.9465625806443225E-3</v>
      </c>
      <c r="AL418">
        <f t="shared" si="30"/>
        <v>0.8323865008722392</v>
      </c>
      <c r="AQ418">
        <v>0.74187015999999995</v>
      </c>
      <c r="AR418">
        <v>45</v>
      </c>
      <c r="AS418">
        <v>3966</v>
      </c>
      <c r="AT418" s="2">
        <v>416</v>
      </c>
      <c r="AU418">
        <v>3858</v>
      </c>
      <c r="AV418" s="3">
        <v>0.36246287999999999</v>
      </c>
      <c r="AW418">
        <v>3858</v>
      </c>
      <c r="AX418" s="2">
        <v>460</v>
      </c>
      <c r="AY418">
        <v>3884</v>
      </c>
    </row>
    <row r="419" spans="34:51" x14ac:dyDescent="0.25">
      <c r="AH419">
        <v>417</v>
      </c>
      <c r="AI419">
        <v>3966</v>
      </c>
      <c r="AJ419">
        <f t="shared" si="28"/>
        <v>483.56480080685827</v>
      </c>
      <c r="AK419">
        <f t="shared" si="29"/>
        <v>1.9328198291924713E-3</v>
      </c>
      <c r="AL419">
        <f t="shared" si="30"/>
        <v>0.83431932070143167</v>
      </c>
      <c r="AQ419">
        <v>0.40498584999999998</v>
      </c>
      <c r="AR419">
        <v>250</v>
      </c>
      <c r="AS419">
        <v>3788</v>
      </c>
      <c r="AT419" s="2">
        <v>417</v>
      </c>
      <c r="AU419">
        <v>3713</v>
      </c>
      <c r="AV419" s="3">
        <v>0.32897430999999999</v>
      </c>
      <c r="AW419">
        <v>3713</v>
      </c>
      <c r="AX419" s="2">
        <v>219</v>
      </c>
      <c r="AY419">
        <v>3885</v>
      </c>
    </row>
    <row r="420" spans="34:51" x14ac:dyDescent="0.25">
      <c r="AH420">
        <v>418</v>
      </c>
      <c r="AI420">
        <v>3776</v>
      </c>
      <c r="AJ420">
        <f t="shared" si="28"/>
        <v>507.89671610169489</v>
      </c>
      <c r="AK420">
        <f t="shared" si="29"/>
        <v>2.0300750642418806E-3</v>
      </c>
      <c r="AL420">
        <f t="shared" si="30"/>
        <v>0.83634939576567358</v>
      </c>
      <c r="AQ420">
        <v>8.5743780000000006E-2</v>
      </c>
      <c r="AR420">
        <v>26</v>
      </c>
      <c r="AS420">
        <v>3691</v>
      </c>
      <c r="AT420" s="2">
        <v>418</v>
      </c>
      <c r="AU420">
        <v>3884</v>
      </c>
      <c r="AV420" s="3">
        <v>0.58147859999999996</v>
      </c>
      <c r="AW420">
        <v>3884</v>
      </c>
      <c r="AX420" s="2">
        <v>184</v>
      </c>
      <c r="AY420">
        <v>3885</v>
      </c>
    </row>
    <row r="421" spans="34:51" x14ac:dyDescent="0.25">
      <c r="AH421">
        <v>419</v>
      </c>
      <c r="AI421">
        <v>4178</v>
      </c>
      <c r="AJ421">
        <f t="shared" si="28"/>
        <v>459.02776448061275</v>
      </c>
      <c r="AK421">
        <f t="shared" si="29"/>
        <v>1.8347447205785882E-3</v>
      </c>
      <c r="AL421">
        <f t="shared" si="30"/>
        <v>0.83818414048625212</v>
      </c>
      <c r="AQ421">
        <v>0.22065502000000001</v>
      </c>
      <c r="AR421">
        <v>432</v>
      </c>
      <c r="AS421">
        <v>3614</v>
      </c>
      <c r="AT421" s="2">
        <v>419</v>
      </c>
      <c r="AU421">
        <v>3639</v>
      </c>
      <c r="AV421" s="3">
        <v>5.5350009999999998E-2</v>
      </c>
      <c r="AW421">
        <v>3639</v>
      </c>
      <c r="AX421" s="2">
        <v>449</v>
      </c>
      <c r="AY421">
        <v>3887</v>
      </c>
    </row>
    <row r="422" spans="34:51" x14ac:dyDescent="0.25">
      <c r="AH422">
        <v>420</v>
      </c>
      <c r="AI422">
        <v>4042</v>
      </c>
      <c r="AJ422">
        <f t="shared" si="28"/>
        <v>474.47253834735278</v>
      </c>
      <c r="AK422">
        <f t="shared" si="29"/>
        <v>1.8964778432897925E-3</v>
      </c>
      <c r="AL422">
        <f t="shared" si="30"/>
        <v>0.84008061832954195</v>
      </c>
      <c r="AQ422">
        <v>0.72186612999999999</v>
      </c>
      <c r="AR422">
        <v>109</v>
      </c>
      <c r="AS422">
        <v>3762</v>
      </c>
      <c r="AT422" s="2">
        <v>420</v>
      </c>
      <c r="AU422">
        <v>3811</v>
      </c>
      <c r="AV422" s="3">
        <v>0.87708293999999998</v>
      </c>
      <c r="AW422">
        <v>3811</v>
      </c>
      <c r="AX422" s="2">
        <v>354</v>
      </c>
      <c r="AY422">
        <v>3890</v>
      </c>
    </row>
    <row r="423" spans="34:51" x14ac:dyDescent="0.25">
      <c r="AH423">
        <v>421</v>
      </c>
      <c r="AI423">
        <v>3944</v>
      </c>
      <c r="AJ423">
        <f t="shared" si="28"/>
        <v>486.26217038539556</v>
      </c>
      <c r="AK423">
        <f t="shared" si="29"/>
        <v>1.9436012785439508E-3</v>
      </c>
      <c r="AL423">
        <f t="shared" si="30"/>
        <v>0.84202421960808593</v>
      </c>
      <c r="AQ423">
        <v>0.18789834</v>
      </c>
      <c r="AR423">
        <v>297</v>
      </c>
      <c r="AS423">
        <v>3788</v>
      </c>
      <c r="AT423" s="2">
        <v>421</v>
      </c>
      <c r="AU423">
        <v>3822</v>
      </c>
      <c r="AV423" s="3">
        <v>0.86934263000000001</v>
      </c>
      <c r="AW423">
        <v>3822</v>
      </c>
      <c r="AX423" s="2">
        <v>143</v>
      </c>
      <c r="AY423">
        <v>3891</v>
      </c>
    </row>
    <row r="424" spans="34:51" x14ac:dyDescent="0.25">
      <c r="AH424">
        <v>422</v>
      </c>
      <c r="AI424">
        <v>3769</v>
      </c>
      <c r="AJ424">
        <f t="shared" si="28"/>
        <v>508.84001061289467</v>
      </c>
      <c r="AK424">
        <f t="shared" si="29"/>
        <v>2.0338454344858959E-3</v>
      </c>
      <c r="AL424">
        <f t="shared" si="30"/>
        <v>0.84405806504257186</v>
      </c>
      <c r="AQ424">
        <v>0.81830513000000005</v>
      </c>
      <c r="AR424">
        <v>33</v>
      </c>
      <c r="AS424">
        <v>3806</v>
      </c>
      <c r="AT424" s="2">
        <v>422</v>
      </c>
      <c r="AU424">
        <v>3780</v>
      </c>
      <c r="AV424" s="3">
        <v>0.95768808999999999</v>
      </c>
      <c r="AW424">
        <v>3780</v>
      </c>
      <c r="AX424" s="2">
        <v>216</v>
      </c>
      <c r="AY424">
        <v>3892</v>
      </c>
    </row>
    <row r="425" spans="34:51" x14ac:dyDescent="0.25">
      <c r="AH425">
        <v>423</v>
      </c>
      <c r="AI425">
        <v>3959</v>
      </c>
      <c r="AJ425">
        <f t="shared" si="28"/>
        <v>484.41980298055063</v>
      </c>
      <c r="AK425">
        <f t="shared" si="29"/>
        <v>1.9362372928965247E-3</v>
      </c>
      <c r="AL425">
        <f t="shared" si="30"/>
        <v>0.84599430233546835</v>
      </c>
      <c r="AQ425">
        <v>2.9074490000000001E-2</v>
      </c>
      <c r="AR425">
        <v>44</v>
      </c>
      <c r="AS425">
        <v>3889</v>
      </c>
      <c r="AT425" s="2">
        <v>423</v>
      </c>
      <c r="AU425">
        <v>3768</v>
      </c>
      <c r="AV425" s="3">
        <v>0.18477815</v>
      </c>
      <c r="AW425">
        <v>3768</v>
      </c>
      <c r="AX425" s="2">
        <v>236</v>
      </c>
      <c r="AY425">
        <v>3892</v>
      </c>
    </row>
    <row r="426" spans="34:51" x14ac:dyDescent="0.25">
      <c r="AH426">
        <v>424</v>
      </c>
      <c r="AI426">
        <v>3730</v>
      </c>
      <c r="AJ426">
        <f t="shared" si="28"/>
        <v>514.16032171581764</v>
      </c>
      <c r="AK426">
        <f t="shared" si="29"/>
        <v>2.0551108425140322E-3</v>
      </c>
      <c r="AL426">
        <f t="shared" si="30"/>
        <v>0.84804941317798244</v>
      </c>
      <c r="AQ426">
        <v>0.52829718999999997</v>
      </c>
      <c r="AR426">
        <v>457</v>
      </c>
      <c r="AS426">
        <v>3706</v>
      </c>
      <c r="AT426" s="2">
        <v>424</v>
      </c>
      <c r="AU426">
        <v>3591</v>
      </c>
      <c r="AV426" s="3">
        <v>0.96462857999999996</v>
      </c>
      <c r="AW426">
        <v>3591</v>
      </c>
      <c r="AX426" s="2">
        <v>344</v>
      </c>
      <c r="AY426">
        <v>3892</v>
      </c>
    </row>
    <row r="427" spans="34:51" x14ac:dyDescent="0.25">
      <c r="AH427">
        <v>425</v>
      </c>
      <c r="AI427">
        <v>3752</v>
      </c>
      <c r="AJ427">
        <f t="shared" si="28"/>
        <v>511.1455223880597</v>
      </c>
      <c r="AK427">
        <f t="shared" si="29"/>
        <v>2.0430606190238116E-3</v>
      </c>
      <c r="AL427">
        <f t="shared" si="30"/>
        <v>0.85009247379700625</v>
      </c>
      <c r="AQ427">
        <v>0.32353681000000001</v>
      </c>
      <c r="AR427">
        <v>237</v>
      </c>
      <c r="AS427">
        <v>3802</v>
      </c>
      <c r="AT427" s="2">
        <v>425</v>
      </c>
      <c r="AU427">
        <v>3783</v>
      </c>
      <c r="AV427" s="3">
        <v>0.42921548999999998</v>
      </c>
      <c r="AW427">
        <v>3783</v>
      </c>
      <c r="AX427" s="2">
        <v>58</v>
      </c>
      <c r="AY427">
        <v>3893</v>
      </c>
    </row>
    <row r="428" spans="34:51" x14ac:dyDescent="0.25">
      <c r="AH428">
        <v>426</v>
      </c>
      <c r="AI428">
        <v>3820</v>
      </c>
      <c r="AJ428">
        <f t="shared" si="28"/>
        <v>502.04659685863874</v>
      </c>
      <c r="AK428">
        <f t="shared" si="29"/>
        <v>2.0066920006746969E-3</v>
      </c>
      <c r="AL428">
        <f t="shared" si="30"/>
        <v>0.85209916579768097</v>
      </c>
      <c r="AQ428">
        <v>0.99659478999999995</v>
      </c>
      <c r="AR428">
        <v>42</v>
      </c>
      <c r="AS428">
        <v>3947</v>
      </c>
      <c r="AT428" s="2">
        <v>426</v>
      </c>
      <c r="AU428">
        <v>3892</v>
      </c>
      <c r="AV428" s="3">
        <v>6.0540200000000002E-2</v>
      </c>
      <c r="AW428">
        <v>3892</v>
      </c>
      <c r="AX428" s="2">
        <v>137</v>
      </c>
      <c r="AY428">
        <v>3893</v>
      </c>
    </row>
    <row r="429" spans="34:51" x14ac:dyDescent="0.25">
      <c r="AH429">
        <v>427</v>
      </c>
      <c r="AI429">
        <v>3801</v>
      </c>
      <c r="AJ429">
        <f t="shared" si="28"/>
        <v>504.55616942909762</v>
      </c>
      <c r="AK429">
        <f t="shared" si="29"/>
        <v>2.016722820988514E-3</v>
      </c>
      <c r="AL429">
        <f t="shared" si="30"/>
        <v>0.85411588861866949</v>
      </c>
      <c r="AQ429">
        <v>0.98859030000000003</v>
      </c>
      <c r="AR429">
        <v>76</v>
      </c>
      <c r="AS429">
        <v>3813</v>
      </c>
      <c r="AT429" s="2">
        <v>427</v>
      </c>
      <c r="AU429">
        <v>3803</v>
      </c>
      <c r="AV429" s="3">
        <v>0.77880972999999998</v>
      </c>
      <c r="AW429">
        <v>3803</v>
      </c>
      <c r="AX429" s="2">
        <v>362</v>
      </c>
      <c r="AY429">
        <v>3894</v>
      </c>
    </row>
    <row r="430" spans="34:51" x14ac:dyDescent="0.25">
      <c r="AH430">
        <v>428</v>
      </c>
      <c r="AI430">
        <v>3803</v>
      </c>
      <c r="AJ430">
        <f t="shared" si="28"/>
        <v>504.29082303444648</v>
      </c>
      <c r="AK430">
        <f t="shared" si="29"/>
        <v>2.0156622252372708E-3</v>
      </c>
      <c r="AL430">
        <f t="shared" si="30"/>
        <v>0.8561315508439068</v>
      </c>
      <c r="AQ430">
        <v>0.41659545999999997</v>
      </c>
      <c r="AR430">
        <v>61</v>
      </c>
      <c r="AS430">
        <v>3717</v>
      </c>
      <c r="AT430" s="2">
        <v>428</v>
      </c>
      <c r="AU430">
        <v>3721</v>
      </c>
      <c r="AV430" s="3">
        <v>0.72477018999999998</v>
      </c>
      <c r="AW430">
        <v>3721</v>
      </c>
      <c r="AX430" s="2">
        <v>30</v>
      </c>
      <c r="AY430">
        <v>3896</v>
      </c>
    </row>
    <row r="431" spans="34:51" x14ac:dyDescent="0.25">
      <c r="AH431">
        <v>429</v>
      </c>
      <c r="AI431">
        <v>3672</v>
      </c>
      <c r="AJ431">
        <f t="shared" si="28"/>
        <v>522.28159041394338</v>
      </c>
      <c r="AK431">
        <f t="shared" si="29"/>
        <v>2.0875717436212803E-3</v>
      </c>
      <c r="AL431">
        <f t="shared" si="30"/>
        <v>0.85821912258752808</v>
      </c>
      <c r="AQ431">
        <v>0.60810487999999996</v>
      </c>
      <c r="AR431">
        <v>223</v>
      </c>
      <c r="AS431">
        <v>3856</v>
      </c>
      <c r="AT431" s="2">
        <v>429</v>
      </c>
      <c r="AU431">
        <v>3950</v>
      </c>
      <c r="AV431" s="3">
        <v>0.77208167000000005</v>
      </c>
      <c r="AW431">
        <v>3950</v>
      </c>
      <c r="AX431" s="2">
        <v>298</v>
      </c>
      <c r="AY431">
        <v>3897</v>
      </c>
    </row>
    <row r="432" spans="34:51" x14ac:dyDescent="0.25">
      <c r="AH432">
        <v>430</v>
      </c>
      <c r="AI432">
        <v>3855</v>
      </c>
      <c r="AJ432">
        <f t="shared" si="28"/>
        <v>497.48845654993517</v>
      </c>
      <c r="AK432">
        <f t="shared" si="29"/>
        <v>1.9884730071536554E-3</v>
      </c>
      <c r="AL432">
        <f t="shared" si="30"/>
        <v>0.86020759559468174</v>
      </c>
      <c r="AQ432">
        <v>0.54450189999999998</v>
      </c>
      <c r="AR432">
        <v>251</v>
      </c>
      <c r="AS432">
        <v>4046</v>
      </c>
      <c r="AT432" s="2">
        <v>430</v>
      </c>
      <c r="AU432">
        <v>4058</v>
      </c>
      <c r="AV432" s="3">
        <v>0.41206861</v>
      </c>
      <c r="AW432">
        <v>4058</v>
      </c>
      <c r="AX432" s="2">
        <v>470</v>
      </c>
      <c r="AY432">
        <v>3897</v>
      </c>
    </row>
    <row r="433" spans="34:51" x14ac:dyDescent="0.25">
      <c r="AH433">
        <v>431</v>
      </c>
      <c r="AI433">
        <v>3826</v>
      </c>
      <c r="AJ433">
        <f t="shared" si="28"/>
        <v>501.25927861996865</v>
      </c>
      <c r="AK433">
        <f t="shared" si="29"/>
        <v>2.0035450712434246E-3</v>
      </c>
      <c r="AL433">
        <f t="shared" si="30"/>
        <v>0.86221114066592519</v>
      </c>
      <c r="AQ433">
        <v>0.39003496999999998</v>
      </c>
      <c r="AR433">
        <v>473</v>
      </c>
      <c r="AS433">
        <v>3755</v>
      </c>
      <c r="AT433" s="2">
        <v>431</v>
      </c>
      <c r="AU433">
        <v>3835</v>
      </c>
      <c r="AV433" s="3">
        <v>0.83384365000000005</v>
      </c>
      <c r="AW433">
        <v>3835</v>
      </c>
      <c r="AX433" s="2">
        <v>297</v>
      </c>
      <c r="AY433">
        <v>3898</v>
      </c>
    </row>
    <row r="434" spans="34:51" x14ac:dyDescent="0.25">
      <c r="AH434">
        <v>432</v>
      </c>
      <c r="AI434">
        <v>3614</v>
      </c>
      <c r="AJ434">
        <f t="shared" si="28"/>
        <v>530.6635307138904</v>
      </c>
      <c r="AK434">
        <f t="shared" si="29"/>
        <v>2.1210745552233926E-3</v>
      </c>
      <c r="AL434">
        <f t="shared" si="30"/>
        <v>0.86433221522114856</v>
      </c>
      <c r="AQ434">
        <v>0.32676338999999999</v>
      </c>
      <c r="AR434">
        <v>496</v>
      </c>
      <c r="AS434">
        <v>3775</v>
      </c>
      <c r="AT434" s="2">
        <v>432</v>
      </c>
      <c r="AU434">
        <v>3752</v>
      </c>
      <c r="AV434" s="3">
        <v>0.48081099999999999</v>
      </c>
      <c r="AW434">
        <v>3752</v>
      </c>
      <c r="AX434" s="2">
        <v>417</v>
      </c>
      <c r="AY434">
        <v>3898</v>
      </c>
    </row>
    <row r="435" spans="34:51" x14ac:dyDescent="0.25">
      <c r="AH435">
        <v>433</v>
      </c>
      <c r="AI435">
        <v>3763</v>
      </c>
      <c r="AJ435">
        <f t="shared" si="28"/>
        <v>509.65134201435023</v>
      </c>
      <c r="AK435">
        <f t="shared" si="29"/>
        <v>2.0370883450909756E-3</v>
      </c>
      <c r="AL435">
        <f t="shared" si="30"/>
        <v>0.86636930356623953</v>
      </c>
      <c r="AQ435">
        <v>0.78409523000000003</v>
      </c>
      <c r="AR435">
        <v>500</v>
      </c>
      <c r="AS435">
        <v>3734</v>
      </c>
      <c r="AT435" s="2">
        <v>433</v>
      </c>
      <c r="AU435">
        <v>3678</v>
      </c>
      <c r="AV435" s="3">
        <v>0.99053150000000001</v>
      </c>
      <c r="AW435">
        <v>3678</v>
      </c>
      <c r="AX435" s="2">
        <v>94</v>
      </c>
      <c r="AY435">
        <v>3904</v>
      </c>
    </row>
    <row r="436" spans="34:51" x14ac:dyDescent="0.25">
      <c r="AH436">
        <v>434</v>
      </c>
      <c r="AI436">
        <v>3973</v>
      </c>
      <c r="AJ436">
        <f t="shared" si="28"/>
        <v>482.71281147747294</v>
      </c>
      <c r="AK436">
        <f t="shared" si="29"/>
        <v>1.9294144078976444E-3</v>
      </c>
      <c r="AL436">
        <f t="shared" si="30"/>
        <v>0.86829871797413716</v>
      </c>
      <c r="AQ436">
        <v>0.54704845000000002</v>
      </c>
      <c r="AR436">
        <v>301</v>
      </c>
      <c r="AS436">
        <v>3726</v>
      </c>
      <c r="AT436" s="2">
        <v>434</v>
      </c>
      <c r="AU436">
        <v>3764</v>
      </c>
      <c r="AV436" s="3">
        <v>0.54700232000000004</v>
      </c>
      <c r="AW436">
        <v>3764</v>
      </c>
      <c r="AX436" s="2">
        <v>141</v>
      </c>
      <c r="AY436">
        <v>3905</v>
      </c>
    </row>
    <row r="437" spans="34:51" x14ac:dyDescent="0.25">
      <c r="AH437">
        <v>435</v>
      </c>
      <c r="AI437">
        <v>3680</v>
      </c>
      <c r="AJ437">
        <f t="shared" si="28"/>
        <v>521.1461956521739</v>
      </c>
      <c r="AK437">
        <f t="shared" si="29"/>
        <v>2.0830335441786255E-3</v>
      </c>
      <c r="AL437">
        <f t="shared" si="30"/>
        <v>0.87038175151831576</v>
      </c>
      <c r="AQ437">
        <v>4.0842589999999998E-2</v>
      </c>
      <c r="AR437">
        <v>498</v>
      </c>
      <c r="AS437">
        <v>3748</v>
      </c>
      <c r="AT437" s="2">
        <v>435</v>
      </c>
      <c r="AU437">
        <v>3748</v>
      </c>
      <c r="AV437" s="3">
        <v>0.30819290999999999</v>
      </c>
      <c r="AW437">
        <v>3748</v>
      </c>
      <c r="AX437" s="2">
        <v>480</v>
      </c>
      <c r="AY437">
        <v>3906</v>
      </c>
    </row>
    <row r="438" spans="34:51" x14ac:dyDescent="0.25">
      <c r="AH438">
        <v>436</v>
      </c>
      <c r="AI438">
        <v>3783</v>
      </c>
      <c r="AJ438">
        <f t="shared" si="28"/>
        <v>506.95691250330424</v>
      </c>
      <c r="AK438">
        <f t="shared" si="29"/>
        <v>2.0263186472580866E-3</v>
      </c>
      <c r="AL438">
        <f t="shared" si="30"/>
        <v>0.87240807016557387</v>
      </c>
      <c r="AQ438">
        <v>0.64899874000000002</v>
      </c>
      <c r="AR438">
        <v>364</v>
      </c>
      <c r="AS438">
        <v>3781</v>
      </c>
      <c r="AT438" s="2">
        <v>436</v>
      </c>
      <c r="AU438">
        <v>3781</v>
      </c>
      <c r="AV438" s="3">
        <v>0.67031205000000005</v>
      </c>
      <c r="AW438">
        <v>3781</v>
      </c>
      <c r="AX438" s="2">
        <v>229</v>
      </c>
      <c r="AY438">
        <v>3907</v>
      </c>
    </row>
    <row r="439" spans="34:51" x14ac:dyDescent="0.25">
      <c r="AH439">
        <v>437</v>
      </c>
      <c r="AI439">
        <v>3744</v>
      </c>
      <c r="AJ439">
        <f t="shared" si="28"/>
        <v>512.23771367521363</v>
      </c>
      <c r="AK439">
        <f t="shared" si="29"/>
        <v>2.0474261331670249E-3</v>
      </c>
      <c r="AL439">
        <f t="shared" si="30"/>
        <v>0.87445549629874086</v>
      </c>
      <c r="AQ439">
        <v>0.24341457999999999</v>
      </c>
      <c r="AR439">
        <v>230</v>
      </c>
      <c r="AS439">
        <v>3760</v>
      </c>
      <c r="AT439" s="2">
        <v>437</v>
      </c>
      <c r="AU439">
        <v>3806</v>
      </c>
      <c r="AV439" s="3">
        <v>0.83438188000000002</v>
      </c>
      <c r="AW439">
        <v>3806</v>
      </c>
      <c r="AX439" s="2">
        <v>27</v>
      </c>
      <c r="AY439">
        <v>3908</v>
      </c>
    </row>
    <row r="440" spans="34:51" x14ac:dyDescent="0.25">
      <c r="AH440">
        <v>438</v>
      </c>
      <c r="AI440">
        <v>3731</v>
      </c>
      <c r="AJ440">
        <f t="shared" si="28"/>
        <v>514.02251407129461</v>
      </c>
      <c r="AK440">
        <f t="shared" si="29"/>
        <v>2.0545600221327639E-3</v>
      </c>
      <c r="AL440">
        <f t="shared" si="30"/>
        <v>0.87651005632087364</v>
      </c>
      <c r="AQ440">
        <v>0.14101422</v>
      </c>
      <c r="AR440">
        <v>363</v>
      </c>
      <c r="AS440">
        <v>3884</v>
      </c>
      <c r="AT440" s="2">
        <v>438</v>
      </c>
      <c r="AU440">
        <v>3960</v>
      </c>
      <c r="AV440" s="4">
        <v>2.839065E-2</v>
      </c>
      <c r="AW440">
        <v>3949</v>
      </c>
      <c r="AX440" s="2">
        <v>452</v>
      </c>
      <c r="AY440">
        <v>3911</v>
      </c>
    </row>
    <row r="441" spans="34:51" x14ac:dyDescent="0.25">
      <c r="AH441">
        <v>439</v>
      </c>
      <c r="AI441">
        <v>3967</v>
      </c>
      <c r="AJ441">
        <f t="shared" si="28"/>
        <v>483.44290395765063</v>
      </c>
      <c r="AK441">
        <f t="shared" si="29"/>
        <v>1.932332604632554E-3</v>
      </c>
      <c r="AL441">
        <f t="shared" si="30"/>
        <v>0.87844238892550619</v>
      </c>
      <c r="AQ441">
        <v>0.59317379999999997</v>
      </c>
      <c r="AR441">
        <v>114</v>
      </c>
      <c r="AS441">
        <v>3653</v>
      </c>
      <c r="AT441" s="2">
        <v>439</v>
      </c>
      <c r="AU441">
        <v>3691</v>
      </c>
      <c r="AV441" s="3">
        <v>0.28880125000000001</v>
      </c>
      <c r="AW441">
        <v>3691</v>
      </c>
      <c r="AX441" s="2">
        <v>104</v>
      </c>
      <c r="AY441">
        <v>3912</v>
      </c>
    </row>
    <row r="442" spans="34:51" x14ac:dyDescent="0.25">
      <c r="AH442">
        <v>440</v>
      </c>
      <c r="AI442">
        <v>4140</v>
      </c>
      <c r="AJ442">
        <f t="shared" si="28"/>
        <v>463.24106280193234</v>
      </c>
      <c r="AK442">
        <f t="shared" si="29"/>
        <v>1.8515853726032226E-3</v>
      </c>
      <c r="AL442">
        <f t="shared" si="30"/>
        <v>0.88029397429810941</v>
      </c>
      <c r="AQ442">
        <v>0.23931955999999999</v>
      </c>
      <c r="AR442">
        <v>495</v>
      </c>
      <c r="AS442">
        <v>3725</v>
      </c>
      <c r="AT442" s="2">
        <v>440</v>
      </c>
      <c r="AU442">
        <v>3775</v>
      </c>
      <c r="AV442" s="3">
        <v>0.71322823000000002</v>
      </c>
      <c r="AW442">
        <v>3775</v>
      </c>
      <c r="AX442" s="2">
        <v>75</v>
      </c>
      <c r="AY442">
        <v>3914</v>
      </c>
    </row>
    <row r="443" spans="34:51" x14ac:dyDescent="0.25">
      <c r="AH443">
        <v>441</v>
      </c>
      <c r="AI443">
        <v>4062</v>
      </c>
      <c r="AJ443">
        <f t="shared" si="28"/>
        <v>472.13638601674052</v>
      </c>
      <c r="AK443">
        <f t="shared" si="29"/>
        <v>1.8871401877344515E-3</v>
      </c>
      <c r="AL443">
        <f t="shared" si="30"/>
        <v>0.88218111448584391</v>
      </c>
      <c r="AQ443">
        <v>0.98050873999999999</v>
      </c>
      <c r="AR443">
        <v>495</v>
      </c>
      <c r="AS443">
        <v>3725</v>
      </c>
      <c r="AT443" s="2">
        <v>441</v>
      </c>
      <c r="AU443">
        <v>3782</v>
      </c>
      <c r="AV443" s="3">
        <v>0.12640971000000001</v>
      </c>
      <c r="AW443">
        <v>3782</v>
      </c>
      <c r="AX443" s="2">
        <v>372</v>
      </c>
      <c r="AY443">
        <v>3915</v>
      </c>
    </row>
    <row r="444" spans="34:51" x14ac:dyDescent="0.25">
      <c r="AH444">
        <v>442</v>
      </c>
      <c r="AI444">
        <v>3974</v>
      </c>
      <c r="AJ444">
        <f t="shared" si="28"/>
        <v>482.59134373427275</v>
      </c>
      <c r="AK444">
        <f t="shared" si="29"/>
        <v>1.9289288984844844E-3</v>
      </c>
      <c r="AL444">
        <f t="shared" si="30"/>
        <v>0.88411004338432841</v>
      </c>
      <c r="AQ444">
        <v>0.65556179999999997</v>
      </c>
      <c r="AR444">
        <v>121</v>
      </c>
      <c r="AS444">
        <v>3759</v>
      </c>
      <c r="AT444" s="2">
        <v>442</v>
      </c>
      <c r="AU444">
        <v>3850</v>
      </c>
      <c r="AV444" s="3">
        <v>0.76497804999999997</v>
      </c>
      <c r="AW444">
        <v>3850</v>
      </c>
      <c r="AX444" s="2">
        <v>423</v>
      </c>
      <c r="AY444">
        <v>3915</v>
      </c>
    </row>
    <row r="445" spans="34:51" x14ac:dyDescent="0.25">
      <c r="AH445">
        <v>443</v>
      </c>
      <c r="AI445">
        <v>3898</v>
      </c>
      <c r="AJ445">
        <f t="shared" si="28"/>
        <v>492.00051308363265</v>
      </c>
      <c r="AK445">
        <f t="shared" si="29"/>
        <v>1.9665375686447775E-3</v>
      </c>
      <c r="AL445">
        <f t="shared" si="30"/>
        <v>0.88607658095297315</v>
      </c>
      <c r="AQ445">
        <v>0.12204081</v>
      </c>
      <c r="AR445">
        <v>346</v>
      </c>
      <c r="AS445">
        <v>3875</v>
      </c>
      <c r="AT445" s="2">
        <v>443</v>
      </c>
      <c r="AU445">
        <v>3794</v>
      </c>
      <c r="AV445" s="3">
        <v>0.40243465</v>
      </c>
      <c r="AW445">
        <v>3794</v>
      </c>
      <c r="AX445" s="2">
        <v>70</v>
      </c>
      <c r="AY445">
        <v>3916</v>
      </c>
    </row>
    <row r="446" spans="34:51" x14ac:dyDescent="0.25">
      <c r="AH446">
        <v>444</v>
      </c>
      <c r="AI446">
        <v>3814</v>
      </c>
      <c r="AJ446">
        <f t="shared" si="28"/>
        <v>502.83639223911905</v>
      </c>
      <c r="AK446">
        <f t="shared" si="29"/>
        <v>2.009848831299775E-3</v>
      </c>
      <c r="AL446">
        <f t="shared" si="30"/>
        <v>0.88808642978427288</v>
      </c>
      <c r="AQ446">
        <v>0.68518924999999997</v>
      </c>
      <c r="AR446">
        <v>445</v>
      </c>
      <c r="AS446">
        <v>3937</v>
      </c>
      <c r="AT446" s="2">
        <v>444</v>
      </c>
      <c r="AU446">
        <v>4007</v>
      </c>
      <c r="AV446" s="3">
        <v>0.26807999999999998</v>
      </c>
      <c r="AW446">
        <v>4007</v>
      </c>
      <c r="AX446" s="2">
        <v>218</v>
      </c>
      <c r="AY446">
        <v>3916</v>
      </c>
    </row>
    <row r="447" spans="34:51" x14ac:dyDescent="0.25">
      <c r="AH447">
        <v>445</v>
      </c>
      <c r="AI447">
        <v>3937</v>
      </c>
      <c r="AJ447">
        <f t="shared" si="28"/>
        <v>487.12674625349251</v>
      </c>
      <c r="AK447">
        <f t="shared" si="29"/>
        <v>1.9470570085286618E-3</v>
      </c>
      <c r="AL447">
        <f t="shared" si="30"/>
        <v>0.89003348679280159</v>
      </c>
      <c r="AQ447">
        <v>0.79548757999999997</v>
      </c>
      <c r="AR447">
        <v>47</v>
      </c>
      <c r="AS447">
        <v>3665</v>
      </c>
      <c r="AT447" s="2">
        <v>445</v>
      </c>
      <c r="AU447">
        <v>3816</v>
      </c>
      <c r="AV447" s="4">
        <v>2.4598539999999999E-2</v>
      </c>
      <c r="AW447">
        <v>3805</v>
      </c>
      <c r="AX447" s="2">
        <v>232</v>
      </c>
      <c r="AY447">
        <v>3916</v>
      </c>
    </row>
    <row r="448" spans="34:51" x14ac:dyDescent="0.25">
      <c r="AH448">
        <v>446</v>
      </c>
      <c r="AI448">
        <v>3826</v>
      </c>
      <c r="AJ448">
        <f t="shared" si="28"/>
        <v>501.25927861996865</v>
      </c>
      <c r="AK448">
        <f t="shared" si="29"/>
        <v>2.0035450712434246E-3</v>
      </c>
      <c r="AL448">
        <f t="shared" si="30"/>
        <v>0.89203703186404504</v>
      </c>
      <c r="AQ448">
        <v>2.86162E-3</v>
      </c>
      <c r="AR448">
        <v>257</v>
      </c>
      <c r="AS448">
        <v>3762</v>
      </c>
      <c r="AT448" s="2">
        <v>446</v>
      </c>
      <c r="AU448">
        <v>3695</v>
      </c>
      <c r="AV448" s="3">
        <v>0.93470620999999998</v>
      </c>
      <c r="AW448">
        <v>3695</v>
      </c>
      <c r="AX448" s="2">
        <v>268</v>
      </c>
      <c r="AY448">
        <v>3917</v>
      </c>
    </row>
    <row r="449" spans="34:51" x14ac:dyDescent="0.25">
      <c r="AH449">
        <v>447</v>
      </c>
      <c r="AI449">
        <v>3964</v>
      </c>
      <c r="AJ449">
        <f t="shared" si="28"/>
        <v>483.80877901109989</v>
      </c>
      <c r="AK449">
        <f t="shared" si="29"/>
        <v>1.9337950157864131E-3</v>
      </c>
      <c r="AL449">
        <f t="shared" si="30"/>
        <v>0.89397082687983143</v>
      </c>
      <c r="AQ449">
        <v>0.95343237999999997</v>
      </c>
      <c r="AR449">
        <v>141</v>
      </c>
      <c r="AS449">
        <v>3849</v>
      </c>
      <c r="AT449" s="2">
        <v>447</v>
      </c>
      <c r="AU449">
        <v>3849</v>
      </c>
      <c r="AV449" s="3">
        <v>0.60699528000000003</v>
      </c>
      <c r="AW449">
        <v>3849</v>
      </c>
      <c r="AX449" s="2">
        <v>310</v>
      </c>
      <c r="AY449">
        <v>3917</v>
      </c>
    </row>
    <row r="450" spans="34:51" x14ac:dyDescent="0.25">
      <c r="AH450">
        <v>448</v>
      </c>
      <c r="AI450">
        <v>3565</v>
      </c>
      <c r="AJ450">
        <f t="shared" si="28"/>
        <v>537.9573632538569</v>
      </c>
      <c r="AK450">
        <f t="shared" si="29"/>
        <v>2.1502281746360002E-3</v>
      </c>
      <c r="AL450">
        <f t="shared" si="30"/>
        <v>0.89612105505446737</v>
      </c>
      <c r="AQ450">
        <v>0.82114147999999998</v>
      </c>
      <c r="AR450">
        <v>249</v>
      </c>
      <c r="AS450">
        <v>3777</v>
      </c>
      <c r="AT450" s="2">
        <v>448</v>
      </c>
      <c r="AU450">
        <v>3719</v>
      </c>
      <c r="AV450" s="3">
        <v>0.38816273000000001</v>
      </c>
      <c r="AW450">
        <v>3719</v>
      </c>
      <c r="AX450" s="2">
        <v>403</v>
      </c>
      <c r="AY450">
        <v>3918</v>
      </c>
    </row>
    <row r="451" spans="34:51" x14ac:dyDescent="0.25">
      <c r="AH451">
        <v>449</v>
      </c>
      <c r="AI451">
        <v>3793</v>
      </c>
      <c r="AJ451">
        <f t="shared" si="28"/>
        <v>505.62035328236226</v>
      </c>
      <c r="AK451">
        <f t="shared" si="29"/>
        <v>2.0209763887628109E-3</v>
      </c>
      <c r="AL451">
        <f t="shared" si="30"/>
        <v>0.89814203144323024</v>
      </c>
      <c r="AQ451">
        <v>0.74725001999999996</v>
      </c>
      <c r="AR451">
        <v>340</v>
      </c>
      <c r="AS451">
        <v>3723</v>
      </c>
      <c r="AT451" s="2">
        <v>449</v>
      </c>
      <c r="AU451">
        <v>3757</v>
      </c>
      <c r="AV451" s="3">
        <v>0.83805638999999998</v>
      </c>
      <c r="AW451">
        <v>3757</v>
      </c>
      <c r="AX451" s="2">
        <v>87</v>
      </c>
      <c r="AY451">
        <v>3921</v>
      </c>
    </row>
    <row r="452" spans="34:51" x14ac:dyDescent="0.25">
      <c r="AH452">
        <v>450</v>
      </c>
      <c r="AI452">
        <v>3721</v>
      </c>
      <c r="AJ452">
        <f t="shared" ref="AJ452:AJ502" si="31">$AI$504/AI452</f>
        <v>515.40392367643108</v>
      </c>
      <c r="AK452">
        <f t="shared" ref="AK452:AK502" si="32">AJ452/$AJ$504</f>
        <v>2.0600815486636233E-3</v>
      </c>
      <c r="AL452">
        <f t="shared" ref="AL452:AL502" si="33">AK452+AL451</f>
        <v>0.9002021129918939</v>
      </c>
      <c r="AQ452">
        <v>0.31871687999999998</v>
      </c>
      <c r="AR452">
        <v>2</v>
      </c>
      <c r="AS452">
        <v>3844</v>
      </c>
      <c r="AT452" s="2">
        <v>450</v>
      </c>
      <c r="AU452">
        <v>4042</v>
      </c>
      <c r="AV452" s="3">
        <v>0.54568744000000002</v>
      </c>
      <c r="AW452">
        <v>4042</v>
      </c>
      <c r="AX452" s="2">
        <v>14</v>
      </c>
      <c r="AY452">
        <v>3922</v>
      </c>
    </row>
    <row r="453" spans="34:51" x14ac:dyDescent="0.25">
      <c r="AH453">
        <v>451</v>
      </c>
      <c r="AI453">
        <v>3866</v>
      </c>
      <c r="AJ453">
        <f t="shared" si="31"/>
        <v>496.0729436109674</v>
      </c>
      <c r="AK453">
        <f t="shared" si="32"/>
        <v>1.9828151687991055E-3</v>
      </c>
      <c r="AL453">
        <f t="shared" si="33"/>
        <v>0.90218492816069296</v>
      </c>
      <c r="AQ453">
        <v>0.74243884999999998</v>
      </c>
      <c r="AR453">
        <v>425</v>
      </c>
      <c r="AS453">
        <v>3752</v>
      </c>
      <c r="AT453" s="2">
        <v>451</v>
      </c>
      <c r="AU453">
        <v>3707</v>
      </c>
      <c r="AV453" s="3">
        <v>0.93835824999999995</v>
      </c>
      <c r="AW453">
        <v>3707</v>
      </c>
      <c r="AX453" s="2">
        <v>152</v>
      </c>
      <c r="AY453">
        <v>3923</v>
      </c>
    </row>
    <row r="454" spans="34:51" x14ac:dyDescent="0.25">
      <c r="AH454">
        <v>452</v>
      </c>
      <c r="AI454">
        <v>3880</v>
      </c>
      <c r="AJ454">
        <f t="shared" si="31"/>
        <v>494.28298969072165</v>
      </c>
      <c r="AK454">
        <f t="shared" si="32"/>
        <v>1.9756606810766345E-3</v>
      </c>
      <c r="AL454">
        <f t="shared" si="33"/>
        <v>0.90416058884176964</v>
      </c>
      <c r="AQ454">
        <v>0.49440527000000001</v>
      </c>
      <c r="AR454">
        <v>369</v>
      </c>
      <c r="AS454">
        <v>3686</v>
      </c>
      <c r="AT454" s="2">
        <v>452</v>
      </c>
      <c r="AU454">
        <v>3674</v>
      </c>
      <c r="AV454" s="3">
        <v>0.15115392</v>
      </c>
      <c r="AW454">
        <v>3674</v>
      </c>
      <c r="AX454" s="2">
        <v>320</v>
      </c>
      <c r="AY454">
        <v>3924</v>
      </c>
    </row>
    <row r="455" spans="34:51" x14ac:dyDescent="0.25">
      <c r="AH455">
        <v>453</v>
      </c>
      <c r="AI455">
        <v>3817</v>
      </c>
      <c r="AJ455">
        <f t="shared" si="31"/>
        <v>502.44118417605449</v>
      </c>
      <c r="AK455">
        <f t="shared" si="32"/>
        <v>2.0082691754197907E-3</v>
      </c>
      <c r="AL455">
        <f t="shared" si="33"/>
        <v>0.90616885801718938</v>
      </c>
      <c r="AQ455">
        <v>0.85660904999999998</v>
      </c>
      <c r="AR455">
        <v>193</v>
      </c>
      <c r="AS455">
        <v>3830</v>
      </c>
      <c r="AT455" s="2">
        <v>453</v>
      </c>
      <c r="AU455">
        <v>3945</v>
      </c>
      <c r="AV455" s="3">
        <v>0.52784257999999995</v>
      </c>
      <c r="AW455">
        <v>3945</v>
      </c>
      <c r="AX455" s="2">
        <v>468</v>
      </c>
      <c r="AY455">
        <v>3925</v>
      </c>
    </row>
    <row r="456" spans="34:51" x14ac:dyDescent="0.25">
      <c r="AH456">
        <v>454</v>
      </c>
      <c r="AI456">
        <v>3812</v>
      </c>
      <c r="AJ456">
        <f t="shared" si="31"/>
        <v>503.10020986358865</v>
      </c>
      <c r="AK456">
        <f t="shared" si="32"/>
        <v>2.0109033165208135E-3</v>
      </c>
      <c r="AL456">
        <f t="shared" si="33"/>
        <v>0.90817976133371014</v>
      </c>
      <c r="AQ456">
        <v>0.85318863</v>
      </c>
      <c r="AR456">
        <v>137</v>
      </c>
      <c r="AS456">
        <v>3886</v>
      </c>
      <c r="AT456" s="2">
        <v>454</v>
      </c>
      <c r="AU456">
        <v>3791</v>
      </c>
      <c r="AV456" s="3">
        <v>0.79004954999999999</v>
      </c>
      <c r="AW456">
        <v>3791</v>
      </c>
      <c r="AX456" s="2">
        <v>92</v>
      </c>
      <c r="AY456">
        <v>3926</v>
      </c>
    </row>
    <row r="457" spans="34:51" x14ac:dyDescent="0.25">
      <c r="AH457">
        <v>455</v>
      </c>
      <c r="AI457">
        <v>3870</v>
      </c>
      <c r="AJ457">
        <f t="shared" si="31"/>
        <v>495.56020671834625</v>
      </c>
      <c r="AK457">
        <f t="shared" si="32"/>
        <v>1.9807657474360057E-3</v>
      </c>
      <c r="AL457">
        <f t="shared" si="33"/>
        <v>0.91016052708114614</v>
      </c>
      <c r="AQ457">
        <v>0.80137712000000005</v>
      </c>
      <c r="AR457">
        <v>129</v>
      </c>
      <c r="AS457">
        <v>3798</v>
      </c>
      <c r="AT457" s="2">
        <v>455</v>
      </c>
      <c r="AU457">
        <v>3816</v>
      </c>
      <c r="AV457" s="3">
        <v>0.51410979000000001</v>
      </c>
      <c r="AW457">
        <v>3816</v>
      </c>
      <c r="AX457" s="2">
        <v>110</v>
      </c>
      <c r="AY457">
        <v>3929</v>
      </c>
    </row>
    <row r="458" spans="34:51" x14ac:dyDescent="0.25">
      <c r="AH458">
        <v>456</v>
      </c>
      <c r="AI458">
        <v>3606</v>
      </c>
      <c r="AJ458">
        <f t="shared" si="31"/>
        <v>531.84082085413195</v>
      </c>
      <c r="AK458">
        <f t="shared" si="32"/>
        <v>2.1257802114745816E-3</v>
      </c>
      <c r="AL458">
        <f t="shared" si="33"/>
        <v>0.91228630729262072</v>
      </c>
      <c r="AQ458">
        <v>0.58052992999999997</v>
      </c>
      <c r="AR458">
        <v>239</v>
      </c>
      <c r="AS458">
        <v>3729</v>
      </c>
      <c r="AT458" s="2">
        <v>456</v>
      </c>
      <c r="AU458">
        <v>3721</v>
      </c>
      <c r="AV458" s="3">
        <v>0.74738561999999997</v>
      </c>
      <c r="AW458">
        <v>3721</v>
      </c>
      <c r="AX458" s="2">
        <v>291</v>
      </c>
      <c r="AY458">
        <v>3930</v>
      </c>
    </row>
    <row r="459" spans="34:51" x14ac:dyDescent="0.25">
      <c r="AH459">
        <v>457</v>
      </c>
      <c r="AI459">
        <v>3706</v>
      </c>
      <c r="AJ459">
        <f t="shared" si="31"/>
        <v>517.49001618996226</v>
      </c>
      <c r="AK459">
        <f t="shared" si="32"/>
        <v>2.068419709276131E-3</v>
      </c>
      <c r="AL459">
        <f t="shared" si="33"/>
        <v>0.91435472700189691</v>
      </c>
      <c r="AQ459">
        <v>5.9416709999999998E-2</v>
      </c>
      <c r="AR459">
        <v>371</v>
      </c>
      <c r="AS459">
        <v>3726</v>
      </c>
      <c r="AT459" s="2">
        <v>457</v>
      </c>
      <c r="AU459">
        <v>3726</v>
      </c>
      <c r="AV459" s="4">
        <v>1.86885E-2</v>
      </c>
      <c r="AW459">
        <v>3726</v>
      </c>
      <c r="AX459" s="2">
        <v>113</v>
      </c>
      <c r="AY459">
        <v>3932</v>
      </c>
    </row>
    <row r="460" spans="34:51" x14ac:dyDescent="0.25">
      <c r="AH460">
        <v>458</v>
      </c>
      <c r="AI460">
        <v>3695</v>
      </c>
      <c r="AJ460">
        <f t="shared" si="31"/>
        <v>519.03058186738838</v>
      </c>
      <c r="AK460">
        <f t="shared" si="32"/>
        <v>2.0745773863538137E-3</v>
      </c>
      <c r="AL460">
        <f t="shared" si="33"/>
        <v>0.91642930438825077</v>
      </c>
      <c r="AQ460">
        <v>0.11122072</v>
      </c>
      <c r="AR460">
        <v>202</v>
      </c>
      <c r="AS460">
        <v>3844</v>
      </c>
      <c r="AT460" s="2">
        <v>458</v>
      </c>
      <c r="AU460">
        <v>3876</v>
      </c>
      <c r="AV460" s="3">
        <v>0.35172355</v>
      </c>
      <c r="AW460">
        <v>3876</v>
      </c>
      <c r="AX460" s="2">
        <v>461</v>
      </c>
      <c r="AY460">
        <v>3935</v>
      </c>
    </row>
    <row r="461" spans="34:51" x14ac:dyDescent="0.25">
      <c r="AH461">
        <v>459</v>
      </c>
      <c r="AI461">
        <v>3785</v>
      </c>
      <c r="AJ461">
        <f t="shared" si="31"/>
        <v>506.68903566710702</v>
      </c>
      <c r="AK461">
        <f t="shared" si="32"/>
        <v>2.0252479372727455E-3</v>
      </c>
      <c r="AL461">
        <f t="shared" si="33"/>
        <v>0.91845455232552353</v>
      </c>
      <c r="AQ461">
        <v>0.67791562999999999</v>
      </c>
      <c r="AR461">
        <v>227</v>
      </c>
      <c r="AS461">
        <v>3743</v>
      </c>
      <c r="AT461" s="2">
        <v>459</v>
      </c>
      <c r="AU461">
        <v>3677</v>
      </c>
      <c r="AV461" s="3">
        <v>0.84849697000000002</v>
      </c>
      <c r="AW461">
        <v>3677</v>
      </c>
      <c r="AX461" s="2">
        <v>68</v>
      </c>
      <c r="AY461">
        <v>3935</v>
      </c>
    </row>
    <row r="462" spans="34:51" x14ac:dyDescent="0.25">
      <c r="AH462">
        <v>460</v>
      </c>
      <c r="AI462">
        <v>3725</v>
      </c>
      <c r="AJ462">
        <f t="shared" si="31"/>
        <v>514.85046979865774</v>
      </c>
      <c r="AK462">
        <f t="shared" si="32"/>
        <v>2.0578693805576756E-3</v>
      </c>
      <c r="AL462">
        <f t="shared" si="33"/>
        <v>0.92051242170608116</v>
      </c>
      <c r="AQ462">
        <v>0.24901008999999999</v>
      </c>
      <c r="AR462">
        <v>168</v>
      </c>
      <c r="AS462">
        <v>3835</v>
      </c>
      <c r="AT462" s="2">
        <v>460</v>
      </c>
      <c r="AU462">
        <v>3832</v>
      </c>
      <c r="AV462" s="3">
        <v>0.56099653000000005</v>
      </c>
      <c r="AW462">
        <v>3832</v>
      </c>
      <c r="AX462" s="2">
        <v>278</v>
      </c>
      <c r="AY462">
        <v>3936</v>
      </c>
    </row>
    <row r="463" spans="34:51" x14ac:dyDescent="0.25">
      <c r="AH463">
        <v>461</v>
      </c>
      <c r="AI463">
        <v>3920</v>
      </c>
      <c r="AJ463">
        <f t="shared" si="31"/>
        <v>489.2392857142857</v>
      </c>
      <c r="AK463">
        <f t="shared" si="32"/>
        <v>1.9555008782085057E-3</v>
      </c>
      <c r="AL463">
        <f t="shared" si="33"/>
        <v>0.92246792258428967</v>
      </c>
      <c r="AQ463">
        <v>0.40968913000000001</v>
      </c>
      <c r="AR463">
        <v>282</v>
      </c>
      <c r="AS463">
        <v>3788</v>
      </c>
      <c r="AT463" s="2">
        <v>461</v>
      </c>
      <c r="AU463">
        <v>3705</v>
      </c>
      <c r="AV463" s="3">
        <v>0.50253837999999995</v>
      </c>
      <c r="AW463">
        <v>3705</v>
      </c>
      <c r="AX463" s="2">
        <v>361</v>
      </c>
      <c r="AY463">
        <v>3938</v>
      </c>
    </row>
    <row r="464" spans="34:51" x14ac:dyDescent="0.25">
      <c r="AH464">
        <v>462</v>
      </c>
      <c r="AI464">
        <v>3892</v>
      </c>
      <c r="AJ464">
        <f t="shared" si="31"/>
        <v>492.75899280575538</v>
      </c>
      <c r="AK464">
        <f t="shared" si="32"/>
        <v>1.9695692298502933E-3</v>
      </c>
      <c r="AL464">
        <f t="shared" si="33"/>
        <v>0.92443749181413992</v>
      </c>
      <c r="AQ464">
        <v>0.24326479000000001</v>
      </c>
      <c r="AR464">
        <v>472</v>
      </c>
      <c r="AS464">
        <v>3750</v>
      </c>
      <c r="AT464" s="2">
        <v>462</v>
      </c>
      <c r="AU464">
        <v>3911</v>
      </c>
      <c r="AV464" s="3">
        <v>0.37829125000000002</v>
      </c>
      <c r="AW464">
        <v>3911</v>
      </c>
      <c r="AX464" s="2">
        <v>10</v>
      </c>
      <c r="AY464">
        <v>3942</v>
      </c>
    </row>
    <row r="465" spans="34:51" x14ac:dyDescent="0.25">
      <c r="AH465">
        <v>463</v>
      </c>
      <c r="AI465">
        <v>3914</v>
      </c>
      <c r="AJ465">
        <f t="shared" si="31"/>
        <v>489.98926928972918</v>
      </c>
      <c r="AK465">
        <f t="shared" si="32"/>
        <v>1.9584985801168477E-3</v>
      </c>
      <c r="AL465">
        <f t="shared" si="33"/>
        <v>0.9263959903942568</v>
      </c>
      <c r="AQ465">
        <v>0.98319942000000005</v>
      </c>
      <c r="AR465">
        <v>39</v>
      </c>
      <c r="AS465">
        <v>3803</v>
      </c>
      <c r="AT465" s="2">
        <v>463</v>
      </c>
      <c r="AU465">
        <v>3689</v>
      </c>
      <c r="AV465" s="3">
        <v>0.83739739999999996</v>
      </c>
      <c r="AW465">
        <v>3689</v>
      </c>
      <c r="AX465" s="2">
        <v>309</v>
      </c>
      <c r="AY465">
        <v>3943</v>
      </c>
    </row>
    <row r="466" spans="34:51" x14ac:dyDescent="0.25">
      <c r="AH466">
        <v>464</v>
      </c>
      <c r="AI466">
        <v>3886</v>
      </c>
      <c r="AJ466">
        <f t="shared" si="31"/>
        <v>493.51981471950592</v>
      </c>
      <c r="AK466">
        <f t="shared" si="32"/>
        <v>1.9726102528505769E-3</v>
      </c>
      <c r="AL466">
        <f t="shared" si="33"/>
        <v>0.92836860064710736</v>
      </c>
      <c r="AQ466">
        <v>0.47891067999999998</v>
      </c>
      <c r="AR466">
        <v>335</v>
      </c>
      <c r="AS466">
        <v>3793</v>
      </c>
      <c r="AT466" s="2">
        <v>464</v>
      </c>
      <c r="AU466">
        <v>3962</v>
      </c>
      <c r="AV466" s="3">
        <v>0.63848472000000001</v>
      </c>
      <c r="AW466">
        <v>3962</v>
      </c>
      <c r="AX466" s="2">
        <v>329</v>
      </c>
      <c r="AY466">
        <v>3943</v>
      </c>
    </row>
    <row r="467" spans="34:51" x14ac:dyDescent="0.25">
      <c r="AH467">
        <v>465</v>
      </c>
      <c r="AI467">
        <v>3879</v>
      </c>
      <c r="AJ467">
        <f t="shared" si="31"/>
        <v>494.41041505542665</v>
      </c>
      <c r="AK467">
        <f t="shared" si="32"/>
        <v>1.9761700032424187E-3</v>
      </c>
      <c r="AL467">
        <f t="shared" si="33"/>
        <v>0.93034477065034982</v>
      </c>
      <c r="AQ467">
        <v>0.53273146999999998</v>
      </c>
      <c r="AR467">
        <v>108</v>
      </c>
      <c r="AS467">
        <v>3804</v>
      </c>
      <c r="AT467" s="2">
        <v>465</v>
      </c>
      <c r="AU467">
        <v>3802</v>
      </c>
      <c r="AV467" s="3">
        <v>0.38750547000000002</v>
      </c>
      <c r="AW467">
        <v>3802</v>
      </c>
      <c r="AX467" s="2">
        <v>211</v>
      </c>
      <c r="AY467">
        <v>3944</v>
      </c>
    </row>
    <row r="468" spans="34:51" x14ac:dyDescent="0.25">
      <c r="AH468">
        <v>466</v>
      </c>
      <c r="AI468">
        <v>3918</v>
      </c>
      <c r="AJ468">
        <f t="shared" si="31"/>
        <v>489.4890250127616</v>
      </c>
      <c r="AK468">
        <f t="shared" si="32"/>
        <v>1.9564990920309701E-3</v>
      </c>
      <c r="AL468">
        <f t="shared" si="33"/>
        <v>0.93230126974238081</v>
      </c>
      <c r="AQ468">
        <v>0.68590534000000003</v>
      </c>
      <c r="AR468">
        <v>182</v>
      </c>
      <c r="AS468">
        <v>3789</v>
      </c>
      <c r="AT468" s="2">
        <v>466</v>
      </c>
      <c r="AU468">
        <v>3870</v>
      </c>
      <c r="AV468" s="3">
        <v>0.62109506000000003</v>
      </c>
      <c r="AW468">
        <v>3870</v>
      </c>
      <c r="AX468" s="2">
        <v>106</v>
      </c>
      <c r="AY468">
        <v>3945</v>
      </c>
    </row>
    <row r="469" spans="34:51" x14ac:dyDescent="0.25">
      <c r="AH469">
        <v>467</v>
      </c>
      <c r="AI469">
        <v>3901</v>
      </c>
      <c r="AJ469">
        <f t="shared" si="31"/>
        <v>491.62214816713663</v>
      </c>
      <c r="AK469">
        <f t="shared" si="32"/>
        <v>1.9650252352159297E-3</v>
      </c>
      <c r="AL469">
        <f t="shared" si="33"/>
        <v>0.93426629497759672</v>
      </c>
      <c r="AQ469">
        <v>0.46997505000000001</v>
      </c>
      <c r="AR469">
        <v>191</v>
      </c>
      <c r="AS469">
        <v>3809</v>
      </c>
      <c r="AT469" s="2">
        <v>467</v>
      </c>
      <c r="AU469">
        <v>3880</v>
      </c>
      <c r="AV469" s="3">
        <v>0.66587072999999997</v>
      </c>
      <c r="AW469">
        <v>3880</v>
      </c>
      <c r="AX469" s="2">
        <v>208</v>
      </c>
      <c r="AY469">
        <v>3946</v>
      </c>
    </row>
    <row r="470" spans="34:51" x14ac:dyDescent="0.25">
      <c r="AH470">
        <v>468</v>
      </c>
      <c r="AI470">
        <v>4082</v>
      </c>
      <c r="AJ470">
        <f t="shared" si="31"/>
        <v>469.8231259186673</v>
      </c>
      <c r="AK470">
        <f t="shared" si="32"/>
        <v>1.8778940329684814E-3</v>
      </c>
      <c r="AL470">
        <f t="shared" si="33"/>
        <v>0.93614418901056518</v>
      </c>
      <c r="AQ470">
        <v>0.82449198000000001</v>
      </c>
      <c r="AR470">
        <v>89</v>
      </c>
      <c r="AS470">
        <v>3885</v>
      </c>
      <c r="AT470" s="2">
        <v>468</v>
      </c>
      <c r="AU470">
        <v>3789</v>
      </c>
      <c r="AV470" s="3">
        <v>0.73241042999999995</v>
      </c>
      <c r="AW470">
        <v>3789</v>
      </c>
      <c r="AX470" s="2">
        <v>55</v>
      </c>
      <c r="AY470">
        <v>3947</v>
      </c>
    </row>
    <row r="471" spans="34:51" x14ac:dyDescent="0.25">
      <c r="AH471">
        <v>469</v>
      </c>
      <c r="AI471">
        <v>3865</v>
      </c>
      <c r="AJ471">
        <f t="shared" si="31"/>
        <v>496.20129366106079</v>
      </c>
      <c r="AK471">
        <f t="shared" si="32"/>
        <v>1.9833281869540342E-3</v>
      </c>
      <c r="AL471">
        <f t="shared" si="33"/>
        <v>0.93812751719751919</v>
      </c>
      <c r="AQ471">
        <v>0.32826297999999998</v>
      </c>
      <c r="AR471">
        <v>409</v>
      </c>
      <c r="AS471">
        <v>3844</v>
      </c>
      <c r="AT471" s="2">
        <v>469</v>
      </c>
      <c r="AU471">
        <v>3946</v>
      </c>
      <c r="AV471" s="3">
        <v>0.61769121999999999</v>
      </c>
      <c r="AW471">
        <v>3946</v>
      </c>
      <c r="AX471" s="2">
        <v>145</v>
      </c>
      <c r="AY471">
        <v>3948</v>
      </c>
    </row>
    <row r="472" spans="34:51" x14ac:dyDescent="0.25">
      <c r="AH472">
        <v>470</v>
      </c>
      <c r="AI472">
        <v>3655</v>
      </c>
      <c r="AJ472">
        <f t="shared" si="31"/>
        <v>524.71080711354307</v>
      </c>
      <c r="AK472">
        <f t="shared" si="32"/>
        <v>2.0972813796381233E-3</v>
      </c>
      <c r="AL472">
        <f t="shared" si="33"/>
        <v>0.94022479857715735</v>
      </c>
      <c r="AQ472">
        <v>5.2484629999999997E-2</v>
      </c>
      <c r="AR472">
        <v>353</v>
      </c>
      <c r="AS472">
        <v>3842</v>
      </c>
      <c r="AT472" s="2">
        <v>470</v>
      </c>
      <c r="AU472">
        <v>3884</v>
      </c>
      <c r="AV472" s="3">
        <v>0.64464915</v>
      </c>
      <c r="AW472">
        <v>3884</v>
      </c>
      <c r="AX472" s="2">
        <v>499</v>
      </c>
      <c r="AY472">
        <v>3949</v>
      </c>
    </row>
    <row r="473" spans="34:51" x14ac:dyDescent="0.25">
      <c r="AH473">
        <v>471</v>
      </c>
      <c r="AI473">
        <v>3870</v>
      </c>
      <c r="AJ473">
        <f t="shared" si="31"/>
        <v>495.56020671834625</v>
      </c>
      <c r="AK473">
        <f t="shared" si="32"/>
        <v>1.9807657474360057E-3</v>
      </c>
      <c r="AL473">
        <f t="shared" si="33"/>
        <v>0.94220556432459335</v>
      </c>
      <c r="AQ473">
        <v>0.36071568999999998</v>
      </c>
      <c r="AR473">
        <v>435</v>
      </c>
      <c r="AS473">
        <v>3680</v>
      </c>
      <c r="AT473" s="2">
        <v>471</v>
      </c>
      <c r="AU473">
        <v>3830</v>
      </c>
      <c r="AV473" s="3">
        <v>0.70287447999999997</v>
      </c>
      <c r="AW473">
        <v>3830</v>
      </c>
      <c r="AX473" s="2">
        <v>67</v>
      </c>
      <c r="AY473">
        <v>3950</v>
      </c>
    </row>
    <row r="474" spans="34:51" x14ac:dyDescent="0.25">
      <c r="AH474">
        <v>472</v>
      </c>
      <c r="AI474">
        <v>3750</v>
      </c>
      <c r="AJ474">
        <f t="shared" si="31"/>
        <v>511.41813333333334</v>
      </c>
      <c r="AK474">
        <f t="shared" si="32"/>
        <v>2.0441502513539578E-3</v>
      </c>
      <c r="AL474">
        <f t="shared" si="33"/>
        <v>0.94424971457594731</v>
      </c>
      <c r="AQ474">
        <v>0.43083452999999999</v>
      </c>
      <c r="AR474">
        <v>311</v>
      </c>
      <c r="AS474">
        <v>3840</v>
      </c>
      <c r="AT474" s="2">
        <v>472</v>
      </c>
      <c r="AU474">
        <v>3765</v>
      </c>
      <c r="AV474" s="3">
        <v>0.54840111999999996</v>
      </c>
      <c r="AW474">
        <v>3765</v>
      </c>
      <c r="AX474" s="2">
        <v>118</v>
      </c>
      <c r="AY474">
        <v>3950</v>
      </c>
    </row>
    <row r="475" spans="34:51" x14ac:dyDescent="0.25">
      <c r="AH475">
        <v>473</v>
      </c>
      <c r="AI475">
        <v>3755</v>
      </c>
      <c r="AJ475">
        <f t="shared" si="31"/>
        <v>510.73715046604525</v>
      </c>
      <c r="AK475">
        <f t="shared" si="32"/>
        <v>2.0414283468914358E-3</v>
      </c>
      <c r="AL475">
        <f t="shared" si="33"/>
        <v>0.94629114292283878</v>
      </c>
      <c r="AQ475">
        <v>0.92354196</v>
      </c>
      <c r="AR475">
        <v>148</v>
      </c>
      <c r="AS475">
        <v>3720</v>
      </c>
      <c r="AT475" s="2">
        <v>473</v>
      </c>
      <c r="AU475">
        <v>3898</v>
      </c>
      <c r="AV475" s="3">
        <v>0.63871330000000004</v>
      </c>
      <c r="AW475">
        <v>3898</v>
      </c>
      <c r="AX475" s="2">
        <v>162</v>
      </c>
      <c r="AY475">
        <v>3954</v>
      </c>
    </row>
    <row r="476" spans="34:51" x14ac:dyDescent="0.25">
      <c r="AH476">
        <v>474</v>
      </c>
      <c r="AI476">
        <v>3849</v>
      </c>
      <c r="AJ476">
        <f t="shared" si="31"/>
        <v>498.26396466614705</v>
      </c>
      <c r="AK476">
        <f t="shared" si="32"/>
        <v>1.9915727312489846E-3</v>
      </c>
      <c r="AL476">
        <f t="shared" si="33"/>
        <v>0.94828271565408773</v>
      </c>
      <c r="AQ476">
        <v>0.27372776999999998</v>
      </c>
      <c r="AR476">
        <v>23</v>
      </c>
      <c r="AS476">
        <v>3827</v>
      </c>
      <c r="AT476" s="2">
        <v>474</v>
      </c>
      <c r="AU476">
        <v>3936</v>
      </c>
      <c r="AV476" s="3">
        <v>0.42460048</v>
      </c>
      <c r="AW476">
        <v>3936</v>
      </c>
      <c r="AX476" s="2">
        <v>60</v>
      </c>
      <c r="AY476">
        <v>3956</v>
      </c>
    </row>
    <row r="477" spans="34:51" x14ac:dyDescent="0.25">
      <c r="AH477">
        <v>475</v>
      </c>
      <c r="AI477">
        <v>3735</v>
      </c>
      <c r="AJ477">
        <f t="shared" si="31"/>
        <v>513.47202141900937</v>
      </c>
      <c r="AK477">
        <f t="shared" si="32"/>
        <v>2.0523596901144154E-3</v>
      </c>
      <c r="AL477">
        <f t="shared" si="33"/>
        <v>0.95033507534420214</v>
      </c>
      <c r="AQ477">
        <v>0.92574601999999995</v>
      </c>
      <c r="AR477">
        <v>154</v>
      </c>
      <c r="AS477">
        <v>3734</v>
      </c>
      <c r="AT477" s="2">
        <v>475</v>
      </c>
      <c r="AU477">
        <v>3616</v>
      </c>
      <c r="AV477" s="3">
        <v>8.3967749999999994E-2</v>
      </c>
      <c r="AW477">
        <v>3616</v>
      </c>
      <c r="AX477" s="2">
        <v>257</v>
      </c>
      <c r="AY477">
        <v>3956</v>
      </c>
    </row>
    <row r="478" spans="34:51" x14ac:dyDescent="0.25">
      <c r="AH478">
        <v>476</v>
      </c>
      <c r="AI478">
        <v>3823</v>
      </c>
      <c r="AJ478">
        <f t="shared" si="31"/>
        <v>501.65262882552969</v>
      </c>
      <c r="AK478">
        <f t="shared" si="32"/>
        <v>2.005117301223474E-3</v>
      </c>
      <c r="AL478">
        <f t="shared" si="33"/>
        <v>0.95234019264542558</v>
      </c>
      <c r="AQ478">
        <v>0.29946423</v>
      </c>
      <c r="AR478">
        <v>57</v>
      </c>
      <c r="AS478">
        <v>3760</v>
      </c>
      <c r="AT478" s="2">
        <v>476</v>
      </c>
      <c r="AU478">
        <v>3956</v>
      </c>
      <c r="AV478" s="3">
        <v>0.49227953000000002</v>
      </c>
      <c r="AW478">
        <v>3956</v>
      </c>
      <c r="AX478" s="2">
        <v>343</v>
      </c>
      <c r="AY478">
        <v>3962</v>
      </c>
    </row>
    <row r="479" spans="34:51" x14ac:dyDescent="0.25">
      <c r="AH479">
        <v>477</v>
      </c>
      <c r="AI479">
        <v>3885</v>
      </c>
      <c r="AJ479">
        <f t="shared" si="31"/>
        <v>493.64684684684687</v>
      </c>
      <c r="AK479">
        <f t="shared" si="32"/>
        <v>1.973118003237411E-3</v>
      </c>
      <c r="AL479">
        <f t="shared" si="33"/>
        <v>0.95431331064866298</v>
      </c>
      <c r="AQ479">
        <v>0.87649076999999997</v>
      </c>
      <c r="AR479">
        <v>209</v>
      </c>
      <c r="AS479">
        <v>3693</v>
      </c>
      <c r="AT479" s="2">
        <v>477</v>
      </c>
      <c r="AU479">
        <v>3868</v>
      </c>
      <c r="AV479" s="3">
        <v>0.79560344999999999</v>
      </c>
      <c r="AW479">
        <v>3868</v>
      </c>
      <c r="AX479" s="2">
        <v>386</v>
      </c>
      <c r="AY479">
        <v>3963</v>
      </c>
    </row>
    <row r="480" spans="34:51" x14ac:dyDescent="0.25">
      <c r="AH480">
        <v>478</v>
      </c>
      <c r="AI480">
        <v>3776</v>
      </c>
      <c r="AJ480">
        <f t="shared" si="31"/>
        <v>507.89671610169489</v>
      </c>
      <c r="AK480">
        <f t="shared" si="32"/>
        <v>2.0300750642418806E-3</v>
      </c>
      <c r="AL480">
        <f t="shared" si="33"/>
        <v>0.95634338571290489</v>
      </c>
      <c r="AQ480">
        <v>0.98836767999999997</v>
      </c>
      <c r="AR480">
        <v>393</v>
      </c>
      <c r="AS480">
        <v>3681</v>
      </c>
      <c r="AT480" s="2">
        <v>478</v>
      </c>
      <c r="AU480">
        <v>3633</v>
      </c>
      <c r="AV480" s="3">
        <v>0.23835385000000001</v>
      </c>
      <c r="AW480">
        <v>3633</v>
      </c>
      <c r="AX480" s="2">
        <v>79</v>
      </c>
      <c r="AY480">
        <v>3968</v>
      </c>
    </row>
    <row r="481" spans="34:51" x14ac:dyDescent="0.25">
      <c r="AH481">
        <v>479</v>
      </c>
      <c r="AI481">
        <v>3948</v>
      </c>
      <c r="AJ481">
        <f t="shared" si="31"/>
        <v>485.76950354609932</v>
      </c>
      <c r="AK481">
        <f t="shared" si="32"/>
        <v>1.9416320776538354E-3</v>
      </c>
      <c r="AL481">
        <f t="shared" si="33"/>
        <v>0.95828501779055875</v>
      </c>
      <c r="AQ481">
        <v>0.31136733</v>
      </c>
      <c r="AR481">
        <v>160</v>
      </c>
      <c r="AS481">
        <v>3761</v>
      </c>
      <c r="AT481" s="2">
        <v>479</v>
      </c>
      <c r="AU481">
        <v>3834</v>
      </c>
      <c r="AV481" s="4">
        <v>3.9436159999999998E-2</v>
      </c>
      <c r="AW481">
        <v>3852</v>
      </c>
      <c r="AX481" s="2">
        <v>74</v>
      </c>
      <c r="AY481">
        <v>3968</v>
      </c>
    </row>
    <row r="482" spans="34:51" x14ac:dyDescent="0.25">
      <c r="AH482">
        <v>480</v>
      </c>
      <c r="AI482">
        <v>3839</v>
      </c>
      <c r="AJ482">
        <f t="shared" si="31"/>
        <v>499.56186506902839</v>
      </c>
      <c r="AK482">
        <f t="shared" si="32"/>
        <v>1.9967604695434594E-3</v>
      </c>
      <c r="AL482">
        <f t="shared" si="33"/>
        <v>0.96028177826010219</v>
      </c>
      <c r="AQ482">
        <v>0.80397724999999998</v>
      </c>
      <c r="AR482">
        <v>33</v>
      </c>
      <c r="AS482">
        <v>3806</v>
      </c>
      <c r="AT482" s="2">
        <v>480</v>
      </c>
      <c r="AU482">
        <v>3781</v>
      </c>
      <c r="AV482" s="3">
        <v>0.80569685000000002</v>
      </c>
      <c r="AW482">
        <v>3781</v>
      </c>
      <c r="AX482" s="2">
        <v>102</v>
      </c>
      <c r="AY482">
        <v>3972</v>
      </c>
    </row>
    <row r="483" spans="34:51" x14ac:dyDescent="0.25">
      <c r="AH483">
        <v>481</v>
      </c>
      <c r="AI483">
        <v>3856</v>
      </c>
      <c r="AJ483">
        <f t="shared" si="31"/>
        <v>497.3594398340249</v>
      </c>
      <c r="AK483">
        <f t="shared" si="32"/>
        <v>1.9879573243198499E-3</v>
      </c>
      <c r="AL483">
        <f t="shared" si="33"/>
        <v>0.96226973558442208</v>
      </c>
      <c r="AQ483">
        <v>0.62882084000000005</v>
      </c>
      <c r="AR483">
        <v>114</v>
      </c>
      <c r="AS483">
        <v>3653</v>
      </c>
      <c r="AT483" s="2">
        <v>481</v>
      </c>
      <c r="AU483">
        <v>3653</v>
      </c>
      <c r="AV483" s="3">
        <v>0.47241694000000001</v>
      </c>
      <c r="AW483">
        <v>3653</v>
      </c>
      <c r="AX483" s="2">
        <v>86</v>
      </c>
      <c r="AY483">
        <v>3973</v>
      </c>
    </row>
    <row r="484" spans="34:51" x14ac:dyDescent="0.25">
      <c r="AH484">
        <v>482</v>
      </c>
      <c r="AI484">
        <v>4010</v>
      </c>
      <c r="AJ484">
        <f t="shared" si="31"/>
        <v>478.2588528678304</v>
      </c>
      <c r="AK484">
        <f t="shared" si="32"/>
        <v>1.9116118310666687E-3</v>
      </c>
      <c r="AL484">
        <f t="shared" si="33"/>
        <v>0.96418134741548878</v>
      </c>
      <c r="AQ484">
        <v>0.18377006000000001</v>
      </c>
      <c r="AR484">
        <v>431</v>
      </c>
      <c r="AS484">
        <v>3826</v>
      </c>
      <c r="AT484" s="2">
        <v>482</v>
      </c>
      <c r="AU484">
        <v>3826</v>
      </c>
      <c r="AV484" s="3">
        <v>0.23171711</v>
      </c>
      <c r="AW484">
        <v>3826</v>
      </c>
      <c r="AX484" s="2">
        <v>327</v>
      </c>
      <c r="AY484">
        <v>3975</v>
      </c>
    </row>
    <row r="485" spans="34:51" x14ac:dyDescent="0.25">
      <c r="AH485">
        <v>483</v>
      </c>
      <c r="AI485">
        <v>3960</v>
      </c>
      <c r="AJ485">
        <f t="shared" si="31"/>
        <v>484.29747474747472</v>
      </c>
      <c r="AK485">
        <f t="shared" si="32"/>
        <v>1.9357483440851871E-3</v>
      </c>
      <c r="AL485">
        <f t="shared" si="33"/>
        <v>0.96611709575957394</v>
      </c>
      <c r="AQ485">
        <v>0.61798244999999996</v>
      </c>
      <c r="AR485">
        <v>398</v>
      </c>
      <c r="AS485">
        <v>3809</v>
      </c>
      <c r="AT485" s="2">
        <v>483</v>
      </c>
      <c r="AU485">
        <v>3826</v>
      </c>
      <c r="AV485" s="3">
        <v>0.36293524999999999</v>
      </c>
      <c r="AW485">
        <v>3826</v>
      </c>
      <c r="AX485" s="2">
        <v>43</v>
      </c>
      <c r="AY485">
        <v>3980</v>
      </c>
    </row>
    <row r="486" spans="34:51" x14ac:dyDescent="0.25">
      <c r="AH486">
        <v>484</v>
      </c>
      <c r="AI486">
        <v>3825</v>
      </c>
      <c r="AJ486">
        <f t="shared" si="31"/>
        <v>501.39032679738563</v>
      </c>
      <c r="AK486">
        <f t="shared" si="32"/>
        <v>2.004068873876429E-3</v>
      </c>
      <c r="AL486">
        <f t="shared" si="33"/>
        <v>0.96812116463345033</v>
      </c>
      <c r="AQ486">
        <v>0.45566510999999998</v>
      </c>
      <c r="AR486">
        <v>119</v>
      </c>
      <c r="AS486">
        <v>3857</v>
      </c>
      <c r="AT486" s="2">
        <v>484</v>
      </c>
      <c r="AU486">
        <v>3916</v>
      </c>
      <c r="AV486" s="3">
        <v>0.67942488000000001</v>
      </c>
      <c r="AW486">
        <v>3916</v>
      </c>
      <c r="AX486" s="2">
        <v>271</v>
      </c>
      <c r="AY486">
        <v>3991</v>
      </c>
    </row>
    <row r="487" spans="34:51" x14ac:dyDescent="0.25">
      <c r="AH487">
        <v>485</v>
      </c>
      <c r="AI487">
        <v>4080</v>
      </c>
      <c r="AJ487">
        <f t="shared" si="31"/>
        <v>470.05343137254903</v>
      </c>
      <c r="AK487">
        <f t="shared" si="32"/>
        <v>1.8788145692591523E-3</v>
      </c>
      <c r="AL487">
        <f t="shared" si="33"/>
        <v>0.96999997920270953</v>
      </c>
      <c r="AQ487">
        <v>0.20915765</v>
      </c>
      <c r="AR487">
        <v>52</v>
      </c>
      <c r="AS487">
        <v>3681</v>
      </c>
      <c r="AT487" s="2">
        <v>485</v>
      </c>
      <c r="AU487">
        <v>3787</v>
      </c>
      <c r="AV487" s="3">
        <v>0.78702384000000003</v>
      </c>
      <c r="AW487">
        <v>3787</v>
      </c>
      <c r="AX487" s="2">
        <v>464</v>
      </c>
      <c r="AY487">
        <v>3998</v>
      </c>
    </row>
    <row r="488" spans="34:51" x14ac:dyDescent="0.25">
      <c r="AH488">
        <v>486</v>
      </c>
      <c r="AI488">
        <v>3926</v>
      </c>
      <c r="AJ488">
        <f t="shared" si="31"/>
        <v>488.49159449821701</v>
      </c>
      <c r="AK488">
        <f t="shared" si="32"/>
        <v>1.9525123389142491E-3</v>
      </c>
      <c r="AL488">
        <f t="shared" si="33"/>
        <v>0.97195249154162378</v>
      </c>
      <c r="AQ488">
        <v>8.6558460000000004E-2</v>
      </c>
      <c r="AR488">
        <v>194</v>
      </c>
      <c r="AS488">
        <v>3617</v>
      </c>
      <c r="AT488" s="2">
        <v>486</v>
      </c>
      <c r="AU488">
        <v>3713</v>
      </c>
      <c r="AV488" s="3">
        <v>0.73052335000000002</v>
      </c>
      <c r="AW488">
        <v>3713</v>
      </c>
      <c r="AX488" s="2">
        <v>462</v>
      </c>
      <c r="AY488">
        <v>4002</v>
      </c>
    </row>
    <row r="489" spans="34:51" x14ac:dyDescent="0.25">
      <c r="AH489">
        <v>487</v>
      </c>
      <c r="AI489">
        <v>3883</v>
      </c>
      <c r="AJ489">
        <f t="shared" si="31"/>
        <v>493.9011073911924</v>
      </c>
      <c r="AK489">
        <f t="shared" si="32"/>
        <v>1.97413428858546E-3</v>
      </c>
      <c r="AL489">
        <f t="shared" si="33"/>
        <v>0.97392662583020928</v>
      </c>
      <c r="AQ489">
        <v>0.22822075999999999</v>
      </c>
      <c r="AR489">
        <v>492</v>
      </c>
      <c r="AS489">
        <v>3837</v>
      </c>
      <c r="AT489" s="2">
        <v>487</v>
      </c>
      <c r="AU489">
        <v>3747</v>
      </c>
      <c r="AV489" s="3">
        <v>0.78863567000000001</v>
      </c>
      <c r="AW489">
        <v>3747</v>
      </c>
      <c r="AX489" s="2">
        <v>176</v>
      </c>
      <c r="AY489">
        <v>4003</v>
      </c>
    </row>
    <row r="490" spans="34:51" x14ac:dyDescent="0.25">
      <c r="AH490">
        <v>488</v>
      </c>
      <c r="AI490">
        <v>3938</v>
      </c>
      <c r="AJ490">
        <f t="shared" si="31"/>
        <v>487.00304723209752</v>
      </c>
      <c r="AK490">
        <f t="shared" si="32"/>
        <v>1.9465625806443225E-3</v>
      </c>
      <c r="AL490">
        <f t="shared" si="33"/>
        <v>0.97587318841085358</v>
      </c>
      <c r="AQ490">
        <v>0.91913962000000005</v>
      </c>
      <c r="AR490">
        <v>232</v>
      </c>
      <c r="AS490">
        <v>3810</v>
      </c>
      <c r="AT490" s="2">
        <v>488</v>
      </c>
      <c r="AU490">
        <v>3898</v>
      </c>
      <c r="AV490" s="3">
        <v>0.88596618000000005</v>
      </c>
      <c r="AW490">
        <v>3898</v>
      </c>
      <c r="AX490" s="2">
        <v>244</v>
      </c>
      <c r="AY490">
        <v>4007</v>
      </c>
    </row>
    <row r="491" spans="34:51" x14ac:dyDescent="0.25">
      <c r="AH491">
        <v>489</v>
      </c>
      <c r="AI491">
        <v>3758</v>
      </c>
      <c r="AJ491">
        <f t="shared" si="31"/>
        <v>510.32943054816394</v>
      </c>
      <c r="AK491">
        <f t="shared" si="32"/>
        <v>2.0397986808348436E-3</v>
      </c>
      <c r="AL491">
        <f t="shared" si="33"/>
        <v>0.97791298709168839</v>
      </c>
      <c r="AQ491">
        <v>0.18616574999999999</v>
      </c>
      <c r="AR491">
        <v>165</v>
      </c>
      <c r="AS491">
        <v>3660</v>
      </c>
      <c r="AT491" s="2">
        <v>489</v>
      </c>
      <c r="AU491">
        <v>3736</v>
      </c>
      <c r="AV491" s="3">
        <v>0.96647221000000005</v>
      </c>
      <c r="AW491">
        <v>3736</v>
      </c>
      <c r="AX491" s="2">
        <v>88</v>
      </c>
      <c r="AY491">
        <v>4009</v>
      </c>
    </row>
    <row r="492" spans="34:51" x14ac:dyDescent="0.25">
      <c r="AH492">
        <v>490</v>
      </c>
      <c r="AI492">
        <v>3759</v>
      </c>
      <c r="AJ492">
        <f t="shared" si="31"/>
        <v>510.19366852886407</v>
      </c>
      <c r="AK492">
        <f t="shared" si="32"/>
        <v>2.0392560368654809E-3</v>
      </c>
      <c r="AL492">
        <f t="shared" si="33"/>
        <v>0.97995224312855389</v>
      </c>
      <c r="AQ492">
        <v>0.30323923000000003</v>
      </c>
      <c r="AR492">
        <v>335</v>
      </c>
      <c r="AS492">
        <v>3793</v>
      </c>
      <c r="AT492" s="2">
        <v>490</v>
      </c>
      <c r="AU492">
        <v>3829</v>
      </c>
      <c r="AV492" s="4">
        <v>4.496145E-2</v>
      </c>
      <c r="AW492">
        <v>3735</v>
      </c>
      <c r="AX492" s="2">
        <v>2</v>
      </c>
      <c r="AY492">
        <v>4012</v>
      </c>
    </row>
    <row r="493" spans="34:51" x14ac:dyDescent="0.25">
      <c r="AH493">
        <v>491</v>
      </c>
      <c r="AI493">
        <v>3817</v>
      </c>
      <c r="AJ493">
        <f t="shared" si="31"/>
        <v>502.44118417605449</v>
      </c>
      <c r="AK493">
        <f t="shared" si="32"/>
        <v>2.0082691754197907E-3</v>
      </c>
      <c r="AL493">
        <f t="shared" si="33"/>
        <v>0.98196051230397363</v>
      </c>
      <c r="AQ493">
        <v>0.38506322999999998</v>
      </c>
      <c r="AR493">
        <v>16</v>
      </c>
      <c r="AS493">
        <v>3792</v>
      </c>
      <c r="AT493" s="2">
        <v>491</v>
      </c>
      <c r="AU493">
        <v>3905</v>
      </c>
      <c r="AV493" s="3">
        <v>0.90120392999999999</v>
      </c>
      <c r="AW493">
        <v>3905</v>
      </c>
      <c r="AX493" s="2">
        <v>467</v>
      </c>
      <c r="AY493">
        <v>4014</v>
      </c>
    </row>
    <row r="494" spans="34:51" x14ac:dyDescent="0.25">
      <c r="AH494">
        <v>492</v>
      </c>
      <c r="AI494">
        <v>3837</v>
      </c>
      <c r="AJ494">
        <f t="shared" si="31"/>
        <v>499.82225697159237</v>
      </c>
      <c r="AK494">
        <f t="shared" si="32"/>
        <v>1.9978012620738444E-3</v>
      </c>
      <c r="AL494">
        <f t="shared" si="33"/>
        <v>0.98395831356604746</v>
      </c>
      <c r="AQ494">
        <v>0.27795792000000002</v>
      </c>
      <c r="AR494">
        <v>450</v>
      </c>
      <c r="AS494">
        <v>3721</v>
      </c>
      <c r="AT494" s="2">
        <v>492</v>
      </c>
      <c r="AU494">
        <v>3777</v>
      </c>
      <c r="AV494" s="3">
        <v>0.31620574000000001</v>
      </c>
      <c r="AW494">
        <v>3777</v>
      </c>
      <c r="AX494" s="2">
        <v>189</v>
      </c>
      <c r="AY494">
        <v>4018</v>
      </c>
    </row>
    <row r="495" spans="34:51" x14ac:dyDescent="0.25">
      <c r="AH495">
        <v>493</v>
      </c>
      <c r="AI495">
        <v>4028</v>
      </c>
      <c r="AJ495">
        <f t="shared" si="31"/>
        <v>476.12164846077457</v>
      </c>
      <c r="AK495">
        <f t="shared" si="32"/>
        <v>1.9030693750192009E-3</v>
      </c>
      <c r="AL495">
        <f t="shared" si="33"/>
        <v>0.98586138294106662</v>
      </c>
      <c r="AQ495">
        <v>0.87167375999999996</v>
      </c>
      <c r="AR495">
        <v>377</v>
      </c>
      <c r="AS495">
        <v>3870</v>
      </c>
      <c r="AT495" s="2">
        <v>493</v>
      </c>
      <c r="AU495">
        <v>3870</v>
      </c>
      <c r="AV495" s="3">
        <v>0.74692053000000003</v>
      </c>
      <c r="AW495">
        <v>3870</v>
      </c>
      <c r="AX495" s="2">
        <v>52</v>
      </c>
      <c r="AY495">
        <v>4020</v>
      </c>
    </row>
    <row r="496" spans="34:51" x14ac:dyDescent="0.25">
      <c r="AH496">
        <v>494</v>
      </c>
      <c r="AI496">
        <v>3904</v>
      </c>
      <c r="AJ496">
        <f t="shared" si="31"/>
        <v>491.24436475409834</v>
      </c>
      <c r="AK496">
        <f t="shared" si="32"/>
        <v>1.9635152260700159E-3</v>
      </c>
      <c r="AL496">
        <f t="shared" si="33"/>
        <v>0.98782489816713659</v>
      </c>
      <c r="AQ496">
        <v>0.21082651999999999</v>
      </c>
      <c r="AR496">
        <v>189</v>
      </c>
      <c r="AS496">
        <v>3775</v>
      </c>
      <c r="AT496" s="2">
        <v>494</v>
      </c>
      <c r="AU496">
        <v>3873</v>
      </c>
      <c r="AV496" s="3">
        <v>0.36511552000000003</v>
      </c>
      <c r="AW496">
        <v>3873</v>
      </c>
      <c r="AX496" s="2">
        <v>138</v>
      </c>
      <c r="AY496">
        <v>4028</v>
      </c>
    </row>
    <row r="497" spans="34:51" x14ac:dyDescent="0.25">
      <c r="AH497">
        <v>495</v>
      </c>
      <c r="AI497">
        <v>3725</v>
      </c>
      <c r="AJ497">
        <f t="shared" si="31"/>
        <v>514.85046979865774</v>
      </c>
      <c r="AK497">
        <f t="shared" si="32"/>
        <v>2.0578693805576756E-3</v>
      </c>
      <c r="AL497">
        <f t="shared" si="33"/>
        <v>0.98988276754769422</v>
      </c>
      <c r="AQ497">
        <v>1.996738E-2</v>
      </c>
      <c r="AR497">
        <v>36</v>
      </c>
      <c r="AS497">
        <v>3814</v>
      </c>
      <c r="AT497" s="2">
        <v>495</v>
      </c>
      <c r="AU497">
        <v>3718</v>
      </c>
      <c r="AV497" s="3">
        <v>0.96701247000000001</v>
      </c>
      <c r="AW497">
        <v>3718</v>
      </c>
      <c r="AX497" s="2">
        <v>304</v>
      </c>
      <c r="AY497">
        <v>4040</v>
      </c>
    </row>
    <row r="498" spans="34:51" x14ac:dyDescent="0.25">
      <c r="AH498">
        <v>496</v>
      </c>
      <c r="AI498">
        <v>3775</v>
      </c>
      <c r="AJ498">
        <f t="shared" si="31"/>
        <v>508.03125827814569</v>
      </c>
      <c r="AK498">
        <f t="shared" si="32"/>
        <v>2.0306128324708191E-3</v>
      </c>
      <c r="AL498">
        <f t="shared" si="33"/>
        <v>0.99191338038016508</v>
      </c>
      <c r="AQ498">
        <v>0.55024742999999998</v>
      </c>
      <c r="AR498">
        <v>148</v>
      </c>
      <c r="AS498">
        <v>3720</v>
      </c>
      <c r="AT498" s="2">
        <v>496</v>
      </c>
      <c r="AU498">
        <v>3739</v>
      </c>
      <c r="AV498" s="3">
        <v>0.22937584</v>
      </c>
      <c r="AW498">
        <v>3739</v>
      </c>
      <c r="AX498" s="2">
        <v>286</v>
      </c>
      <c r="AY498">
        <v>4042</v>
      </c>
    </row>
    <row r="499" spans="34:51" x14ac:dyDescent="0.25">
      <c r="AH499">
        <v>497</v>
      </c>
      <c r="AI499">
        <v>3867</v>
      </c>
      <c r="AJ499">
        <f t="shared" si="31"/>
        <v>495.94465994310838</v>
      </c>
      <c r="AK499">
        <f t="shared" si="32"/>
        <v>1.9823024159755214E-3</v>
      </c>
      <c r="AL499">
        <f t="shared" si="33"/>
        <v>0.9938956827961406</v>
      </c>
      <c r="AQ499">
        <v>0.77379936000000005</v>
      </c>
      <c r="AR499">
        <v>139</v>
      </c>
      <c r="AS499">
        <v>3835</v>
      </c>
      <c r="AT499" s="2">
        <v>497</v>
      </c>
      <c r="AU499">
        <v>3930</v>
      </c>
      <c r="AV499" s="3">
        <v>0.92562312000000002</v>
      </c>
      <c r="AW499">
        <v>3930</v>
      </c>
      <c r="AX499" s="2">
        <v>109</v>
      </c>
      <c r="AY499">
        <v>4050</v>
      </c>
    </row>
    <row r="500" spans="34:51" x14ac:dyDescent="0.25">
      <c r="AH500">
        <v>498</v>
      </c>
      <c r="AI500">
        <v>3748</v>
      </c>
      <c r="AJ500">
        <f t="shared" si="31"/>
        <v>511.69103521878333</v>
      </c>
      <c r="AK500">
        <f t="shared" si="32"/>
        <v>2.0452410465787996E-3</v>
      </c>
      <c r="AL500">
        <f t="shared" si="33"/>
        <v>0.99594092384271937</v>
      </c>
      <c r="AQ500">
        <v>0.59746730000000003</v>
      </c>
      <c r="AR500">
        <v>473</v>
      </c>
      <c r="AS500">
        <v>3755</v>
      </c>
      <c r="AT500" s="2">
        <v>498</v>
      </c>
      <c r="AU500">
        <v>3792</v>
      </c>
      <c r="AV500" s="3">
        <v>0.32436906999999998</v>
      </c>
      <c r="AW500">
        <v>3792</v>
      </c>
      <c r="AX500" s="2">
        <v>258</v>
      </c>
      <c r="AY500">
        <v>4058</v>
      </c>
    </row>
    <row r="501" spans="34:51" x14ac:dyDescent="0.25">
      <c r="AH501">
        <v>499</v>
      </c>
      <c r="AI501">
        <v>3821</v>
      </c>
      <c r="AJ501">
        <f t="shared" si="31"/>
        <v>501.91520544360117</v>
      </c>
      <c r="AK501">
        <f t="shared" si="32"/>
        <v>2.0061668261128871E-3</v>
      </c>
      <c r="AL501">
        <f t="shared" si="33"/>
        <v>0.99794709066883225</v>
      </c>
      <c r="AQ501">
        <v>0.83099228000000003</v>
      </c>
      <c r="AR501">
        <v>488</v>
      </c>
      <c r="AS501">
        <v>3938</v>
      </c>
      <c r="AT501" s="2">
        <v>499</v>
      </c>
      <c r="AU501">
        <v>3968</v>
      </c>
      <c r="AV501" s="3">
        <v>0.85316782999999996</v>
      </c>
      <c r="AW501">
        <v>3968</v>
      </c>
      <c r="AX501" s="2">
        <v>446</v>
      </c>
      <c r="AY501">
        <v>4098</v>
      </c>
    </row>
    <row r="502" spans="34:51" x14ac:dyDescent="0.25">
      <c r="AH502">
        <v>500</v>
      </c>
      <c r="AI502">
        <v>3734</v>
      </c>
      <c r="AJ502">
        <f t="shared" si="31"/>
        <v>513.60953401178358</v>
      </c>
      <c r="AK502">
        <f t="shared" si="32"/>
        <v>2.0529093311669367E-3</v>
      </c>
      <c r="AL502">
        <f t="shared" si="33"/>
        <v>0.99999999999999922</v>
      </c>
      <c r="AQ502">
        <v>0.45433092000000003</v>
      </c>
      <c r="AR502">
        <v>350</v>
      </c>
      <c r="AS502">
        <v>3712</v>
      </c>
      <c r="AT502" s="2">
        <v>500</v>
      </c>
      <c r="AU502">
        <v>3906</v>
      </c>
      <c r="AV502" s="3">
        <v>0.52916169000000002</v>
      </c>
      <c r="AW502">
        <v>3906</v>
      </c>
      <c r="AX502" s="2">
        <v>13</v>
      </c>
      <c r="AY502">
        <v>4140</v>
      </c>
    </row>
    <row r="504" spans="34:51" x14ac:dyDescent="0.25">
      <c r="AI504">
        <f>SUM(AI3:AI502)</f>
        <v>1917818</v>
      </c>
      <c r="AJ504">
        <f>SUM(AJ3:AJ502)</f>
        <v>250186.1754020243</v>
      </c>
    </row>
  </sheetData>
  <sortState ref="AX3:AY502">
    <sortCondition ref="AY3"/>
  </sortState>
  <mergeCells count="4">
    <mergeCell ref="AU1:AW1"/>
    <mergeCell ref="BA1:BB1"/>
    <mergeCell ref="BC1:BD1"/>
    <mergeCell ref="AR1:AS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RuletkaIPMX">
                <anchor moveWithCells="1" sizeWithCells="1">
                  <from>
                    <xdr:col>26</xdr:col>
                    <xdr:colOff>28575</xdr:colOff>
                    <xdr:row>2</xdr:row>
                    <xdr:rowOff>47625</xdr:rowOff>
                  </from>
                  <to>
                    <xdr:col>28</xdr:col>
                    <xdr:colOff>571500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TurniejIOpLosZUz">
                <anchor moveWithCells="1" sizeWithCells="1">
                  <from>
                    <xdr:col>26</xdr:col>
                    <xdr:colOff>9525</xdr:colOff>
                    <xdr:row>6</xdr:row>
                    <xdr:rowOff>152400</xdr:rowOff>
                  </from>
                  <to>
                    <xdr:col>28</xdr:col>
                    <xdr:colOff>581025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>Dell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Radek</dc:creator>
  <cp:lastModifiedBy>Michał</cp:lastModifiedBy>
  <dcterms:created xsi:type="dcterms:W3CDTF">2019-12-22T21:21:23Z</dcterms:created>
  <dcterms:modified xsi:type="dcterms:W3CDTF">2020-01-18T19:40:25Z</dcterms:modified>
</cp:coreProperties>
</file>