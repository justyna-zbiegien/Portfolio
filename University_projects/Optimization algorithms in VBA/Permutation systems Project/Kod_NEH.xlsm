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Justyna\Desktop\Zadania\IiE 3.1\IO\Projekt II\"/>
    </mc:Choice>
  </mc:AlternateContent>
  <xr:revisionPtr revIDLastSave="0" documentId="13_ncr:1_{1F5975C0-92AF-4718-AA57-B440C5357ECD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Dane" sheetId="1" r:id="rId1"/>
    <sheet name="Najlepszy" sheetId="3" r:id="rId2"/>
    <sheet name="Arkusz4" sheetId="4" r:id="rId3"/>
    <sheet name="Arkusz5" sheetId="5" r:id="rId4"/>
    <sheet name="Arkusz6" sheetId="6" r:id="rId5"/>
    <sheet name="Arkusz7" sheetId="7" r:id="rId6"/>
    <sheet name="Arkusz8" sheetId="8" r:id="rId7"/>
  </sheets>
  <definedNames>
    <definedName name="solver_adj" localSheetId="0" hidden="1">Dane!$Y$4:$Y$70</definedName>
    <definedName name="solver_cvg" localSheetId="0" hidden="1">"""0,0001"""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Dane!$Y$4:$Y$70</definedName>
    <definedName name="solver_lhs2" localSheetId="0" hidden="1">Dane!$Y$4:$Y$70</definedName>
    <definedName name="solver_lhs3" localSheetId="0" hidden="1">Dane!$Y$4:$Y$70</definedName>
    <definedName name="solver_lhs4" localSheetId="0" hidden="1">Dane!$Y$4:$Y$70</definedName>
    <definedName name="solver_mip" localSheetId="0" hidden="1">2147483647</definedName>
    <definedName name="solver_mni" localSheetId="0" hidden="1">30</definedName>
    <definedName name="solver_mrt" localSheetId="0" hidden="1">"""0,075"""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Dane!$AF$70</definedName>
    <definedName name="solver_pre" localSheetId="0" hidden="1">"""0,000001"""</definedName>
    <definedName name="solver_rbv" localSheetId="0" hidden="1">1</definedName>
    <definedName name="solver_rel1" localSheetId="0" hidden="1">1</definedName>
    <definedName name="solver_rel2" localSheetId="0" hidden="1">6</definedName>
    <definedName name="solver_rel3" localSheetId="0" hidden="1">4</definedName>
    <definedName name="solver_rel4" localSheetId="0" hidden="1">3</definedName>
    <definedName name="solver_rhs1" localSheetId="0" hidden="1">67</definedName>
    <definedName name="solver_rhs2" localSheetId="0" hidden="1">Wszystkie inne</definedName>
    <definedName name="solver_rhs3" localSheetId="0" hidden="1">całkowita</definedName>
    <definedName name="solver_rhs4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4" i="1" l="1"/>
  <c r="V37" i="1"/>
  <c r="V11" i="1"/>
  <c r="V27" i="1"/>
  <c r="V30" i="1"/>
  <c r="V14" i="1"/>
  <c r="V64" i="1"/>
  <c r="V12" i="1"/>
  <c r="V28" i="1"/>
  <c r="V60" i="1"/>
  <c r="V29" i="1"/>
  <c r="V59" i="1"/>
  <c r="V42" i="1"/>
  <c r="V32" i="1"/>
  <c r="V26" i="1"/>
  <c r="V15" i="1"/>
  <c r="V40" i="1"/>
  <c r="V39" i="1"/>
  <c r="V61" i="1"/>
  <c r="V16" i="1"/>
  <c r="V33" i="1"/>
  <c r="V52" i="1"/>
  <c r="V8" i="1"/>
  <c r="V23" i="1"/>
  <c r="V44" i="1"/>
  <c r="V63" i="1"/>
  <c r="V53" i="1"/>
  <c r="V25" i="1"/>
  <c r="V10" i="1"/>
  <c r="V5" i="1"/>
  <c r="V34" i="1"/>
  <c r="V21" i="1"/>
  <c r="V31" i="1"/>
  <c r="V62" i="1"/>
  <c r="V58" i="1"/>
  <c r="V13" i="1"/>
  <c r="V55" i="1"/>
  <c r="V7" i="1"/>
  <c r="V56" i="1"/>
  <c r="V18" i="1"/>
  <c r="V70" i="1"/>
  <c r="V66" i="1"/>
  <c r="V67" i="1"/>
  <c r="V57" i="1"/>
  <c r="V48" i="1"/>
  <c r="V65" i="1"/>
  <c r="V54" i="1"/>
  <c r="V20" i="1"/>
  <c r="V36" i="1"/>
  <c r="V6" i="1"/>
  <c r="V41" i="1"/>
  <c r="V17" i="1"/>
  <c r="V69" i="1"/>
  <c r="V49" i="1"/>
  <c r="V50" i="1"/>
  <c r="V47" i="1"/>
  <c r="V45" i="1"/>
  <c r="V51" i="1"/>
  <c r="V68" i="1"/>
  <c r="V9" i="1"/>
  <c r="V35" i="1"/>
  <c r="V19" i="1"/>
  <c r="V24" i="1"/>
  <c r="V4" i="1"/>
  <c r="V43" i="1"/>
  <c r="V22" i="1"/>
  <c r="V38" i="1"/>
  <c r="V46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4" i="1"/>
  <c r="J71" i="1" l="1"/>
  <c r="Z5" i="1"/>
  <c r="AA4" i="1"/>
  <c r="AB4" i="1" s="1"/>
  <c r="AC4" i="1" s="1"/>
  <c r="AD4" i="1" s="1"/>
  <c r="AE4" i="1" s="1"/>
  <c r="AF4" i="1" s="1"/>
  <c r="AA5" i="1" l="1"/>
  <c r="AB5" i="1" s="1"/>
  <c r="AC5" i="1" s="1"/>
  <c r="AD5" i="1" s="1"/>
  <c r="AE5" i="1" s="1"/>
  <c r="AF5" i="1" s="1"/>
  <c r="Z6" i="1"/>
  <c r="Z7" i="1" s="1"/>
  <c r="Z8" i="1" s="1"/>
  <c r="Z9" i="1" s="1"/>
  <c r="Z10" i="1" s="1"/>
  <c r="Z11" i="1" s="1"/>
  <c r="Z12" i="1" s="1"/>
  <c r="Z13" i="1" s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AA6" i="1" l="1"/>
  <c r="AB6" i="1" s="1"/>
  <c r="AC6" i="1" s="1"/>
  <c r="AD6" i="1" s="1"/>
  <c r="AE6" i="1" s="1"/>
  <c r="AF6" i="1" s="1"/>
  <c r="AG6" i="1" l="1"/>
  <c r="AA7" i="1"/>
  <c r="AB7" i="1" s="1"/>
  <c r="AC7" i="1" s="1"/>
  <c r="AA8" i="1" l="1"/>
  <c r="AA9" i="1" s="1"/>
  <c r="AA10" i="1" s="1"/>
  <c r="AA11" i="1" s="1"/>
  <c r="AA12" i="1" s="1"/>
  <c r="AA13" i="1" s="1"/>
  <c r="AA14" i="1" s="1"/>
  <c r="AA15" i="1" s="1"/>
  <c r="AA16" i="1" s="1"/>
  <c r="AA17" i="1" s="1"/>
  <c r="AA18" i="1" s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D7" i="1"/>
  <c r="AG4" i="1"/>
  <c r="AB8" i="1" l="1"/>
  <c r="AB9" i="1" s="1"/>
  <c r="AB10" i="1" s="1"/>
  <c r="AB11" i="1" s="1"/>
  <c r="AB12" i="1" s="1"/>
  <c r="AB13" i="1" s="1"/>
  <c r="AB14" i="1" s="1"/>
  <c r="AB15" i="1" s="1"/>
  <c r="AB16" i="1" s="1"/>
  <c r="AB17" i="1" s="1"/>
  <c r="AB18" i="1" s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E7" i="1"/>
  <c r="AG5" i="1"/>
  <c r="AC8" i="1" l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AC49" i="1" s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AC64" i="1" s="1"/>
  <c r="AC65" i="1" s="1"/>
  <c r="AC66" i="1" s="1"/>
  <c r="AC67" i="1" s="1"/>
  <c r="AC68" i="1" s="1"/>
  <c r="AC69" i="1" s="1"/>
  <c r="AC70" i="1" s="1"/>
  <c r="AF7" i="1"/>
  <c r="AD8" i="1" l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D41" i="1" s="1"/>
  <c r="AD42" i="1" s="1"/>
  <c r="AD43" i="1" s="1"/>
  <c r="AD44" i="1" s="1"/>
  <c r="AD45" i="1" s="1"/>
  <c r="AD46" i="1" s="1"/>
  <c r="AD47" i="1" s="1"/>
  <c r="AD48" i="1" s="1"/>
  <c r="AD49" i="1" s="1"/>
  <c r="AD50" i="1" s="1"/>
  <c r="AD51" i="1" s="1"/>
  <c r="AD52" i="1" s="1"/>
  <c r="AD53" i="1" s="1"/>
  <c r="AD54" i="1" s="1"/>
  <c r="AD55" i="1" s="1"/>
  <c r="AD56" i="1" s="1"/>
  <c r="AD57" i="1" s="1"/>
  <c r="AD58" i="1" s="1"/>
  <c r="AD59" i="1" s="1"/>
  <c r="AD60" i="1" s="1"/>
  <c r="AD61" i="1" s="1"/>
  <c r="AD62" i="1" s="1"/>
  <c r="AD63" i="1" s="1"/>
  <c r="AD64" i="1" s="1"/>
  <c r="AD65" i="1" s="1"/>
  <c r="AD66" i="1" s="1"/>
  <c r="AD67" i="1" s="1"/>
  <c r="AD68" i="1" s="1"/>
  <c r="AD69" i="1" s="1"/>
  <c r="AD70" i="1" s="1"/>
  <c r="AG7" i="1"/>
  <c r="AE8" i="1" l="1"/>
  <c r="AE9" i="1" s="1"/>
  <c r="AE10" i="1" s="1"/>
  <c r="AF8" i="1" l="1"/>
  <c r="AG8" i="1" s="1"/>
  <c r="AE11" i="1"/>
  <c r="AF9" i="1" l="1"/>
  <c r="AG9" i="1" s="1"/>
  <c r="AE12" i="1"/>
  <c r="AF10" i="1" l="1"/>
  <c r="AG10" i="1" s="1"/>
  <c r="AE13" i="1"/>
  <c r="AF11" i="1" l="1"/>
  <c r="AG11" i="1" s="1"/>
  <c r="AE14" i="1"/>
  <c r="AF12" i="1" l="1"/>
  <c r="AG12" i="1" s="1"/>
  <c r="AE15" i="1"/>
  <c r="AF13" i="1" l="1"/>
  <c r="AG13" i="1" s="1"/>
  <c r="AE16" i="1"/>
  <c r="AF14" i="1" l="1"/>
  <c r="AG14" i="1" s="1"/>
  <c r="AE17" i="1"/>
  <c r="AF15" i="1" l="1"/>
  <c r="AE18" i="1"/>
  <c r="AF16" i="1" l="1"/>
  <c r="AG16" i="1" s="1"/>
  <c r="AG15" i="1"/>
  <c r="AE19" i="1"/>
  <c r="AF17" i="1" l="1"/>
  <c r="AG17" i="1" s="1"/>
  <c r="AE20" i="1"/>
  <c r="AF18" i="1" l="1"/>
  <c r="AE21" i="1"/>
  <c r="AG18" i="1" l="1"/>
  <c r="AF19" i="1"/>
  <c r="AE22" i="1"/>
  <c r="AF20" i="1" l="1"/>
  <c r="AG19" i="1"/>
  <c r="AE23" i="1"/>
  <c r="AG20" i="1" l="1"/>
  <c r="AF21" i="1"/>
  <c r="AE24" i="1"/>
  <c r="AG21" i="1" l="1"/>
  <c r="AF22" i="1"/>
  <c r="AE25" i="1"/>
  <c r="AG22" i="1" l="1"/>
  <c r="AF23" i="1"/>
  <c r="AE26" i="1"/>
  <c r="AF24" i="1" l="1"/>
  <c r="AG23" i="1"/>
  <c r="AE27" i="1"/>
  <c r="AG24" i="1" l="1"/>
  <c r="AF25" i="1"/>
  <c r="AE28" i="1"/>
  <c r="AG25" i="1" l="1"/>
  <c r="AF26" i="1"/>
  <c r="AE29" i="1"/>
  <c r="AG26" i="1" l="1"/>
  <c r="AF27" i="1"/>
  <c r="AE30" i="1"/>
  <c r="AF28" i="1" l="1"/>
  <c r="AG27" i="1"/>
  <c r="AE31" i="1"/>
  <c r="AG28" i="1" l="1"/>
  <c r="AF29" i="1"/>
  <c r="AE32" i="1"/>
  <c r="AG29" i="1" l="1"/>
  <c r="AF30" i="1"/>
  <c r="AE33" i="1"/>
  <c r="AG30" i="1" l="1"/>
  <c r="AF31" i="1"/>
  <c r="AE34" i="1"/>
  <c r="AF32" i="1" l="1"/>
  <c r="AG31" i="1"/>
  <c r="AE35" i="1"/>
  <c r="AG32" i="1" l="1"/>
  <c r="AF33" i="1"/>
  <c r="AE36" i="1"/>
  <c r="AF34" i="1" l="1"/>
  <c r="AG33" i="1"/>
  <c r="AE37" i="1"/>
  <c r="AG34" i="1" l="1"/>
  <c r="AF35" i="1"/>
  <c r="AE38" i="1"/>
  <c r="AF36" i="1" l="1"/>
  <c r="AG35" i="1"/>
  <c r="AE39" i="1"/>
  <c r="AG36" i="1" l="1"/>
  <c r="AF37" i="1"/>
  <c r="AE40" i="1"/>
  <c r="AG37" i="1" l="1"/>
  <c r="AF38" i="1"/>
  <c r="AE41" i="1"/>
  <c r="AG38" i="1" l="1"/>
  <c r="AF39" i="1"/>
  <c r="AE42" i="1"/>
  <c r="AF40" i="1" l="1"/>
  <c r="AG39" i="1"/>
  <c r="AE43" i="1"/>
  <c r="AG40" i="1" l="1"/>
  <c r="AF41" i="1"/>
  <c r="AE44" i="1"/>
  <c r="AG41" i="1" l="1"/>
  <c r="AF42" i="1"/>
  <c r="AE45" i="1"/>
  <c r="AG42" i="1" l="1"/>
  <c r="AF43" i="1"/>
  <c r="AE46" i="1"/>
  <c r="AG43" i="1" l="1"/>
  <c r="AF44" i="1"/>
  <c r="AE47" i="1"/>
  <c r="AG44" i="1" l="1"/>
  <c r="AF45" i="1"/>
  <c r="AE48" i="1"/>
  <c r="AF46" i="1" l="1"/>
  <c r="AG45" i="1"/>
  <c r="AE49" i="1"/>
  <c r="AG46" i="1" l="1"/>
  <c r="AF47" i="1"/>
  <c r="AE50" i="1"/>
  <c r="AF48" i="1" l="1"/>
  <c r="AG47" i="1"/>
  <c r="AE51" i="1"/>
  <c r="AG48" i="1" l="1"/>
  <c r="AF49" i="1"/>
  <c r="AE52" i="1"/>
  <c r="AF50" i="1" l="1"/>
  <c r="AG49" i="1"/>
  <c r="AE53" i="1"/>
  <c r="AG50" i="1" l="1"/>
  <c r="AF51" i="1"/>
  <c r="AE54" i="1"/>
  <c r="AF52" i="1" l="1"/>
  <c r="AG51" i="1"/>
  <c r="AE55" i="1"/>
  <c r="AG52" i="1" l="1"/>
  <c r="AF53" i="1"/>
  <c r="AE56" i="1"/>
  <c r="AG53" i="1" l="1"/>
  <c r="AF54" i="1"/>
  <c r="AE57" i="1"/>
  <c r="AG54" i="1" l="1"/>
  <c r="AF55" i="1"/>
  <c r="AE58" i="1"/>
  <c r="AF56" i="1" l="1"/>
  <c r="AG55" i="1"/>
  <c r="AE59" i="1"/>
  <c r="AG56" i="1" l="1"/>
  <c r="AF57" i="1"/>
  <c r="AE60" i="1"/>
  <c r="AF58" i="1" l="1"/>
  <c r="AG57" i="1"/>
  <c r="AE61" i="1"/>
  <c r="AG58" i="1" l="1"/>
  <c r="AF59" i="1"/>
  <c r="AE62" i="1"/>
  <c r="AG59" i="1" l="1"/>
  <c r="AF60" i="1"/>
  <c r="AE63" i="1"/>
  <c r="AG60" i="1" l="1"/>
  <c r="AF61" i="1"/>
  <c r="AE64" i="1"/>
  <c r="AF62" i="1" l="1"/>
  <c r="AG61" i="1"/>
  <c r="AE65" i="1"/>
  <c r="AG62" i="1" l="1"/>
  <c r="AF63" i="1"/>
  <c r="AE66" i="1"/>
  <c r="AF64" i="1" l="1"/>
  <c r="AG63" i="1"/>
  <c r="AE67" i="1"/>
  <c r="AG64" i="1" l="1"/>
  <c r="AF65" i="1"/>
  <c r="AE68" i="1"/>
  <c r="AG65" i="1" l="1"/>
  <c r="AF66" i="1"/>
  <c r="AE69" i="1"/>
  <c r="AG66" i="1" l="1"/>
  <c r="AF67" i="1"/>
  <c r="AE70" i="1"/>
  <c r="AF68" i="1" l="1"/>
  <c r="AG67" i="1"/>
  <c r="AG68" i="1" l="1"/>
  <c r="AF69" i="1"/>
  <c r="AF70" i="1" l="1"/>
  <c r="AG71" i="1" s="1"/>
  <c r="AG69" i="1"/>
  <c r="AG70" i="1" l="1"/>
</calcChain>
</file>

<file path=xl/sharedStrings.xml><?xml version="1.0" encoding="utf-8"?>
<sst xmlns="http://schemas.openxmlformats.org/spreadsheetml/2006/main" count="101" uniqueCount="82">
  <si>
    <t>Lp.</t>
  </si>
  <si>
    <t>Odlewanie</t>
  </si>
  <si>
    <t>Rozdzielanie</t>
  </si>
  <si>
    <t>Oczyszczanie</t>
  </si>
  <si>
    <t>Śrutowanie</t>
  </si>
  <si>
    <t>Zabielanie</t>
  </si>
  <si>
    <t>Toczenie</t>
  </si>
  <si>
    <t>Gwintowanie</t>
  </si>
  <si>
    <t>Podst. widełek</t>
  </si>
  <si>
    <t>Widełki</t>
  </si>
  <si>
    <t>Zbiornik SMAY 30</t>
  </si>
  <si>
    <t>Głowica sitka R</t>
  </si>
  <si>
    <t>Część górna 1</t>
  </si>
  <si>
    <t>Część górna 2</t>
  </si>
  <si>
    <t>Część górna 3</t>
  </si>
  <si>
    <t>Korpus 1</t>
  </si>
  <si>
    <t>Korpus 2</t>
  </si>
  <si>
    <t>Korpus 3</t>
  </si>
  <si>
    <t>Korpus 4</t>
  </si>
  <si>
    <t>Korpus 5</t>
  </si>
  <si>
    <t>Korpus 6</t>
  </si>
  <si>
    <t>Korpus 7</t>
  </si>
  <si>
    <t>Korpus 8</t>
  </si>
  <si>
    <t>Korpus 9</t>
  </si>
  <si>
    <t>Korpus 10</t>
  </si>
  <si>
    <t>Korpus 11</t>
  </si>
  <si>
    <t>Korpus 12</t>
  </si>
  <si>
    <t>Korpus 13</t>
  </si>
  <si>
    <t>Korpus 14</t>
  </si>
  <si>
    <t>Korpus 15</t>
  </si>
  <si>
    <t>Korpus 16</t>
  </si>
  <si>
    <t>Korpus 17</t>
  </si>
  <si>
    <t>Korpus 18</t>
  </si>
  <si>
    <t>Korpus 19</t>
  </si>
  <si>
    <t>Korpus 20</t>
  </si>
  <si>
    <t>Korpus 21</t>
  </si>
  <si>
    <t>Mimośród 1</t>
  </si>
  <si>
    <t>Mimośród 2</t>
  </si>
  <si>
    <t>Mimośród 3</t>
  </si>
  <si>
    <t>Mimośród 4</t>
  </si>
  <si>
    <t>Mimośród 5</t>
  </si>
  <si>
    <t>Mimośród 6</t>
  </si>
  <si>
    <t>Mimośród 7</t>
  </si>
  <si>
    <t>Obejma 1</t>
  </si>
  <si>
    <t>Obejma 2</t>
  </si>
  <si>
    <t>Obejma 3</t>
  </si>
  <si>
    <t>Przyłącze 1</t>
  </si>
  <si>
    <t>Przyłącze 2</t>
  </si>
  <si>
    <t>Przyłącze 3</t>
  </si>
  <si>
    <t>Przyłącze kątowe 1</t>
  </si>
  <si>
    <t>Przyłącze kątowe 2</t>
  </si>
  <si>
    <t>Siodełko 1</t>
  </si>
  <si>
    <t>Siodełko 2</t>
  </si>
  <si>
    <t>Siodełko 3</t>
  </si>
  <si>
    <t>Uchwyt rączki 1</t>
  </si>
  <si>
    <t>Uchwyt rączki 2</t>
  </si>
  <si>
    <t>Uchwyt rączki 3</t>
  </si>
  <si>
    <t>Uchwyt rączki 4</t>
  </si>
  <si>
    <t>Uchwyt rączki 5</t>
  </si>
  <si>
    <t>Wylot 1</t>
  </si>
  <si>
    <t>Wylot 2</t>
  </si>
  <si>
    <t>Wylot 3</t>
  </si>
  <si>
    <t>Wylot 4</t>
  </si>
  <si>
    <t>Wylot 5</t>
  </si>
  <si>
    <t>Wylot 6</t>
  </si>
  <si>
    <t>Wylot 7</t>
  </si>
  <si>
    <t>Wylot 8</t>
  </si>
  <si>
    <t>Wylot średni 1</t>
  </si>
  <si>
    <t>Wylot średni 2</t>
  </si>
  <si>
    <t>Wylot średni 3</t>
  </si>
  <si>
    <t>Wylot średni 4</t>
  </si>
  <si>
    <t>Wylot Z1</t>
  </si>
  <si>
    <t>Wylot Z2</t>
  </si>
  <si>
    <t>Wylot Z3</t>
  </si>
  <si>
    <t>Zbiornik SMAY 40</t>
  </si>
  <si>
    <t>Kolejność</t>
  </si>
  <si>
    <t>Wynik</t>
  </si>
  <si>
    <t>Nazwa cżęści</t>
  </si>
  <si>
    <t>Czas operacji na kolejnych maszynach</t>
  </si>
  <si>
    <t>suma</t>
  </si>
  <si>
    <t>Nowy Wynik</t>
  </si>
  <si>
    <t xml:space="preserve">Nr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</si>
</sst>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name val="Times New Roman CE"/>
      <charset val="238"/>
    </font>
    <font>
      <sz val="10"/>
      <name val="Times New Roman"/>
      <family val="1"/>
    </font>
    <font>
      <sz val="12"/>
      <color rgb="FF000000"/>
      <name val="Times New Roman CE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1" xfId="0" applyFill="1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</cellXfs>
  <cellStyles count="1">
    <cellStyle name="Normalny" xfId="0" builtinId="0"/>
  </cellStyles>
  <dxfs count="12"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7</xdr:row>
          <xdr:rowOff>12700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200" b="0" i="0" u="none" strike="noStrike" baseline="0">
                  <a:solidFill>
                    <a:srgbClr val="000000"/>
                  </a:solidFill>
                  <a:latin typeface="Times New Roman CE"/>
                  <a:cs typeface="Times New Roman CE"/>
                </a:rPr>
                <a:t>NEH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N3:V70" totalsRowShown="0" headerRowDxfId="11" dataDxfId="10" tableBorderDxfId="9">
  <autoFilter ref="N3:V70" xr:uid="{00000000-0009-0000-0100-000001000000}"/>
  <sortState xmlns:xlrd2="http://schemas.microsoft.com/office/spreadsheetml/2017/richdata2" ref="N4:W70">
    <sortCondition descending="1" ref="V3:V70"/>
  </sortState>
  <tableColumns count="9">
    <tableColumn id="1" xr3:uid="{00000000-0010-0000-0000-000001000000}" name="Lp." dataDxfId="8"/>
    <tableColumn id="3" xr3:uid="{00000000-0010-0000-0000-000003000000}" name="Odlewanie" dataDxfId="7"/>
    <tableColumn id="4" xr3:uid="{00000000-0010-0000-0000-000004000000}" name="Rozdzielanie" dataDxfId="6"/>
    <tableColumn id="5" xr3:uid="{00000000-0010-0000-0000-000005000000}" name="Oczyszczanie" dataDxfId="5"/>
    <tableColumn id="6" xr3:uid="{00000000-0010-0000-0000-000006000000}" name="Śrutowanie" dataDxfId="4"/>
    <tableColumn id="7" xr3:uid="{00000000-0010-0000-0000-000007000000}" name="Zabielanie" dataDxfId="3"/>
    <tableColumn id="8" xr3:uid="{00000000-0010-0000-0000-000008000000}" name="Toczenie" dataDxfId="2"/>
    <tableColumn id="9" xr3:uid="{00000000-0010-0000-0000-000009000000}" name="Gwintowanie" dataDxfId="1"/>
    <tableColumn id="10" xr3:uid="{00000000-0010-0000-0000-00000A000000}" name="suma" dataDxfId="0">
      <calculatedColumnFormula>SUM(O4:U4)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G74"/>
  <sheetViews>
    <sheetView tabSelected="1" topLeftCell="B35" zoomScale="60" zoomScaleNormal="60" workbookViewId="0">
      <selection activeCell="AF66" sqref="AF66"/>
    </sheetView>
  </sheetViews>
  <sheetFormatPr defaultColWidth="9" defaultRowHeight="15.5" x14ac:dyDescent="0.35"/>
  <cols>
    <col min="1" max="1" width="4.08203125" style="3" customWidth="1"/>
    <col min="2" max="2" width="16" style="10" customWidth="1"/>
    <col min="3" max="9" width="10.83203125" style="3" customWidth="1"/>
    <col min="10" max="14" width="9" style="3"/>
    <col min="15" max="15" width="13.58203125" style="3" hidden="1" customWidth="1"/>
    <col min="16" max="16" width="11.5" style="3" hidden="1" customWidth="1"/>
    <col min="17" max="17" width="13.25" style="3" hidden="1" customWidth="1"/>
    <col min="18" max="18" width="13.58203125" style="3" hidden="1" customWidth="1"/>
    <col min="19" max="19" width="12" style="3" hidden="1" customWidth="1"/>
    <col min="20" max="20" width="11.33203125" style="3" hidden="1" customWidth="1"/>
    <col min="21" max="21" width="10.08203125" style="3" hidden="1" customWidth="1"/>
    <col min="22" max="22" width="13.33203125" style="3" customWidth="1"/>
    <col min="23" max="26" width="9" style="3"/>
    <col min="27" max="27" width="10.25" style="3" bestFit="1" customWidth="1"/>
    <col min="28" max="28" width="11" style="3" bestFit="1" customWidth="1"/>
    <col min="29" max="29" width="9.33203125" style="3" bestFit="1" customWidth="1"/>
    <col min="30" max="31" width="9" style="3"/>
    <col min="32" max="32" width="10.75" style="3" bestFit="1" customWidth="1"/>
    <col min="33" max="33" width="9.9140625" style="3" bestFit="1" customWidth="1"/>
    <col min="34" max="16384" width="9" style="3"/>
  </cols>
  <sheetData>
    <row r="1" spans="1:33" x14ac:dyDescent="0.35">
      <c r="A1" s="3">
        <v>1</v>
      </c>
      <c r="B1" s="10">
        <v>2</v>
      </c>
      <c r="C1" s="3">
        <v>3</v>
      </c>
      <c r="D1" s="10">
        <v>4</v>
      </c>
      <c r="E1" s="3">
        <v>5</v>
      </c>
      <c r="F1" s="10">
        <v>6</v>
      </c>
      <c r="G1" s="3">
        <v>7</v>
      </c>
      <c r="H1" s="10">
        <v>8</v>
      </c>
      <c r="I1" s="3">
        <v>9</v>
      </c>
      <c r="J1" s="10">
        <v>10</v>
      </c>
      <c r="K1" s="3">
        <v>11</v>
      </c>
      <c r="L1" s="10">
        <v>12</v>
      </c>
      <c r="M1" s="3">
        <v>13</v>
      </c>
      <c r="N1" s="10">
        <v>14</v>
      </c>
      <c r="O1" s="3">
        <v>15</v>
      </c>
      <c r="P1" s="10">
        <v>16</v>
      </c>
      <c r="Q1" s="3">
        <v>17</v>
      </c>
      <c r="R1" s="10">
        <v>18</v>
      </c>
      <c r="S1" s="3">
        <v>19</v>
      </c>
      <c r="T1" s="10">
        <v>20</v>
      </c>
      <c r="U1" s="3">
        <v>21</v>
      </c>
      <c r="V1" s="10">
        <v>22</v>
      </c>
      <c r="W1" s="3">
        <v>23</v>
      </c>
      <c r="X1" s="10">
        <v>24</v>
      </c>
      <c r="Y1" s="3">
        <v>25</v>
      </c>
      <c r="Z1" s="10">
        <v>26</v>
      </c>
      <c r="AA1" s="3">
        <v>27</v>
      </c>
      <c r="AB1" s="10">
        <v>28</v>
      </c>
      <c r="AC1" s="3">
        <v>29</v>
      </c>
      <c r="AD1" s="10">
        <v>30</v>
      </c>
      <c r="AE1" s="3">
        <v>31</v>
      </c>
      <c r="AF1" s="10">
        <v>32</v>
      </c>
      <c r="AG1" s="3">
        <v>33</v>
      </c>
    </row>
    <row r="2" spans="1:33" x14ac:dyDescent="0.35">
      <c r="C2" s="4"/>
      <c r="D2" s="4"/>
      <c r="E2" s="4"/>
      <c r="F2" s="4" t="s">
        <v>78</v>
      </c>
      <c r="G2" s="4"/>
      <c r="H2" s="4"/>
      <c r="I2" s="5"/>
      <c r="O2" s="10"/>
      <c r="P2" s="4"/>
      <c r="Q2" s="4"/>
      <c r="R2" s="4"/>
      <c r="S2" s="4" t="s">
        <v>78</v>
      </c>
      <c r="T2" s="4"/>
      <c r="U2" s="4"/>
      <c r="V2" s="5"/>
    </row>
    <row r="3" spans="1:33" x14ac:dyDescent="0.35">
      <c r="A3" s="6" t="s">
        <v>0</v>
      </c>
      <c r="B3" s="7" t="s">
        <v>77</v>
      </c>
      <c r="C3" s="8" t="s">
        <v>1</v>
      </c>
      <c r="D3" s="8" t="s">
        <v>2</v>
      </c>
      <c r="E3" s="8" t="s">
        <v>3</v>
      </c>
      <c r="F3" s="8" t="s">
        <v>4</v>
      </c>
      <c r="G3" s="8" t="s">
        <v>5</v>
      </c>
      <c r="H3" s="8" t="s">
        <v>6</v>
      </c>
      <c r="I3" s="8" t="s">
        <v>7</v>
      </c>
      <c r="J3" s="3" t="s">
        <v>79</v>
      </c>
      <c r="N3" s="12" t="s">
        <v>0</v>
      </c>
      <c r="O3" s="13" t="s">
        <v>1</v>
      </c>
      <c r="P3" s="13" t="s">
        <v>2</v>
      </c>
      <c r="Q3" s="13" t="s">
        <v>3</v>
      </c>
      <c r="R3" s="13" t="s">
        <v>4</v>
      </c>
      <c r="S3" s="13" t="s">
        <v>5</v>
      </c>
      <c r="T3" s="13" t="s">
        <v>6</v>
      </c>
      <c r="U3" s="13" t="s">
        <v>7</v>
      </c>
      <c r="V3" s="3" t="s">
        <v>79</v>
      </c>
      <c r="Y3" s="3" t="s">
        <v>81</v>
      </c>
      <c r="Z3" s="3" t="s">
        <v>1</v>
      </c>
      <c r="AA3" s="3" t="s">
        <v>2</v>
      </c>
      <c r="AB3" s="3" t="s">
        <v>3</v>
      </c>
      <c r="AC3" s="3" t="s">
        <v>4</v>
      </c>
      <c r="AD3" s="3" t="s">
        <v>5</v>
      </c>
      <c r="AE3" s="3" t="s">
        <v>6</v>
      </c>
      <c r="AF3" s="3" t="s">
        <v>7</v>
      </c>
      <c r="AG3" s="3" t="s">
        <v>79</v>
      </c>
    </row>
    <row r="4" spans="1:33" x14ac:dyDescent="0.35">
      <c r="A4" s="9">
        <v>1</v>
      </c>
      <c r="B4" s="11" t="s">
        <v>12</v>
      </c>
      <c r="C4" s="2">
        <v>52</v>
      </c>
      <c r="D4" s="2">
        <v>36</v>
      </c>
      <c r="E4" s="2">
        <v>17</v>
      </c>
      <c r="F4" s="2">
        <v>38</v>
      </c>
      <c r="G4" s="2">
        <v>37</v>
      </c>
      <c r="H4" s="2">
        <v>38</v>
      </c>
      <c r="I4" s="2">
        <v>45</v>
      </c>
      <c r="J4" s="3">
        <f>SUM(C4:I4)</f>
        <v>263</v>
      </c>
      <c r="N4" s="5">
        <v>5</v>
      </c>
      <c r="O4" s="2">
        <v>347</v>
      </c>
      <c r="P4" s="2">
        <v>587</v>
      </c>
      <c r="Q4" s="2">
        <v>176</v>
      </c>
      <c r="R4" s="2">
        <v>36</v>
      </c>
      <c r="S4" s="2">
        <v>232</v>
      </c>
      <c r="T4" s="2">
        <v>36</v>
      </c>
      <c r="U4" s="2">
        <v>221</v>
      </c>
      <c r="V4" s="3">
        <f t="shared" ref="V4:V35" si="0">SUM(O4:U4)</f>
        <v>1635</v>
      </c>
      <c r="Y4" s="1">
        <v>19</v>
      </c>
      <c r="Z4" s="3">
        <f>VLOOKUP(Y4,$A$4:$I$70,3,FALSE)</f>
        <v>256</v>
      </c>
      <c r="AA4" s="3">
        <f>VLOOKUP(Y4,$A$4:$I$70,4,FALSE)+Z4</f>
        <v>686</v>
      </c>
      <c r="AB4" s="3">
        <f>VLOOKUP(Y4,$A$4:$I$70,5,FALSE)+AA4</f>
        <v>816</v>
      </c>
      <c r="AC4" s="3">
        <f>VLOOKUP(Y4,$A$4:$I$70,6,FALSE)+AB4</f>
        <v>843</v>
      </c>
      <c r="AD4" s="3">
        <f>VLOOKUP(Y4,$A$4:$I$70,7,FALSE)+AC4</f>
        <v>1015</v>
      </c>
      <c r="AE4" s="3">
        <f>VLOOKUP(Y4,$A$4:$I$70,8,FALSE)+AD4</f>
        <v>1042</v>
      </c>
      <c r="AF4" s="3">
        <f>VLOOKUP(Y4,$A$4:$I$70,9,FALSE)+AE4</f>
        <v>1209</v>
      </c>
      <c r="AG4" s="3">
        <f>SUM(Z4:AF4)</f>
        <v>5867</v>
      </c>
    </row>
    <row r="5" spans="1:33" x14ac:dyDescent="0.35">
      <c r="A5" s="9">
        <v>2</v>
      </c>
      <c r="B5" s="11" t="s">
        <v>13</v>
      </c>
      <c r="C5" s="2">
        <v>98</v>
      </c>
      <c r="D5" s="2">
        <v>47</v>
      </c>
      <c r="E5" s="2">
        <v>31</v>
      </c>
      <c r="F5" s="2">
        <v>46</v>
      </c>
      <c r="G5" s="2">
        <v>16</v>
      </c>
      <c r="H5" s="2">
        <v>46</v>
      </c>
      <c r="I5" s="2">
        <v>36</v>
      </c>
      <c r="J5" s="3">
        <f t="shared" ref="J5:J68" si="1">SUM(C5:I5)</f>
        <v>320</v>
      </c>
      <c r="N5" s="5">
        <v>39</v>
      </c>
      <c r="O5" s="2">
        <v>271</v>
      </c>
      <c r="P5" s="2">
        <v>457</v>
      </c>
      <c r="Q5" s="2">
        <v>138</v>
      </c>
      <c r="R5" s="2">
        <v>27</v>
      </c>
      <c r="S5" s="2">
        <v>182</v>
      </c>
      <c r="T5" s="2">
        <v>27</v>
      </c>
      <c r="U5" s="2">
        <v>176</v>
      </c>
      <c r="V5" s="3">
        <f t="shared" si="0"/>
        <v>1278</v>
      </c>
      <c r="Y5" s="1">
        <v>5</v>
      </c>
      <c r="Z5" s="3">
        <f>_xlfn.IFNA(Z4+VLOOKUP($Y5,$A$4:$I$70,3,FALSE),Z4)</f>
        <v>603</v>
      </c>
      <c r="AA5" s="3">
        <f>_xlfn.IFNA(MAX(Z5,AA4)+VLOOKUP($Y5,$A$4:$I$70,4,FALSE),AA4)</f>
        <v>1273</v>
      </c>
      <c r="AB5" s="3">
        <f>_xlfn.IFNA(MAX(AA5,AB4)+VLOOKUP($Y5,$A$4:$I$70,5,FALSE),AB4)</f>
        <v>1449</v>
      </c>
      <c r="AC5" s="3">
        <f>_xlfn.IFNA(MAX(AB5,AC4)+VLOOKUP($Y5,$A$4:$I$70,6,FALSE),AC4)</f>
        <v>1485</v>
      </c>
      <c r="AD5" s="3">
        <f>_xlfn.IFNA(MAX(AC5,AD4)+VLOOKUP($Y5,$A$4:$I$70,7,FALSE),AD4)</f>
        <v>1717</v>
      </c>
      <c r="AE5" s="3">
        <f>_xlfn.IFNA(MAX(AD5,AE4)+VLOOKUP($Y5,$A$4:$I$70,8,FALSE),AE4)</f>
        <v>1753</v>
      </c>
      <c r="AF5" s="3">
        <f>_xlfn.IFNA(MAX(AE5,AF4)+VLOOKUP($Y5,$A$4:$I$70,9,FALSE),AF4)</f>
        <v>1974</v>
      </c>
      <c r="AG5" s="3">
        <f t="shared" ref="AG5:AG68" si="2">SUM(Z5:AF5)</f>
        <v>10254</v>
      </c>
    </row>
    <row r="6" spans="1:33" x14ac:dyDescent="0.35">
      <c r="A6" s="9">
        <v>3</v>
      </c>
      <c r="B6" s="11" t="s">
        <v>14</v>
      </c>
      <c r="C6" s="2">
        <v>147</v>
      </c>
      <c r="D6" s="2">
        <v>66</v>
      </c>
      <c r="E6" s="2">
        <v>54</v>
      </c>
      <c r="F6" s="2">
        <v>34</v>
      </c>
      <c r="G6" s="2">
        <v>49</v>
      </c>
      <c r="H6" s="2">
        <v>34</v>
      </c>
      <c r="I6" s="2">
        <v>106</v>
      </c>
      <c r="J6" s="3">
        <f t="shared" si="1"/>
        <v>490</v>
      </c>
      <c r="N6" s="5">
        <v>19</v>
      </c>
      <c r="O6" s="2">
        <v>256</v>
      </c>
      <c r="P6" s="2">
        <v>430</v>
      </c>
      <c r="Q6" s="2">
        <v>130</v>
      </c>
      <c r="R6" s="2">
        <v>27</v>
      </c>
      <c r="S6" s="2">
        <v>172</v>
      </c>
      <c r="T6" s="2">
        <v>27</v>
      </c>
      <c r="U6" s="2">
        <v>167</v>
      </c>
      <c r="V6" s="3">
        <f t="shared" si="0"/>
        <v>1209</v>
      </c>
      <c r="Y6" s="1">
        <v>39</v>
      </c>
      <c r="Z6" s="3">
        <f>_xlfn.IFNA( Z5+VLOOKUP($Y6,$A$4:$I$70,3,FALSE),Z5)</f>
        <v>874</v>
      </c>
      <c r="AA6" s="3">
        <f>_xlfn.IFNA(MAX(Z6,AA5)+VLOOKUP($Y6,$A$4:$I$70,4,FALSE),AA5)</f>
        <v>1730</v>
      </c>
      <c r="AB6" s="3">
        <f>_xlfn.IFNA(MAX(AA6,AB5)+VLOOKUP($Y6,$A$4:$I$70,5),AB5)</f>
        <v>1868</v>
      </c>
      <c r="AC6" s="3">
        <f>_xlfn.IFNA(MAX(AB6,AC5)+VLOOKUP($Y6,$A$4:$I$70,6,FALSE),AC5)</f>
        <v>1895</v>
      </c>
      <c r="AD6" s="3">
        <f>_xlfn.IFNA(MAX(AC6,AD5)+VLOOKUP($Y6,$A$4:$I$70,7,FALSE),AD5)</f>
        <v>2077</v>
      </c>
      <c r="AE6" s="3">
        <f>_xlfn.IFNA(MAX(AD6,AE5)+VLOOKUP($Y6,$A$4:$I$70,8,FALSE),AE5)</f>
        <v>2104</v>
      </c>
      <c r="AF6" s="3">
        <f>_xlfn.IFNA(MAX(AE6,AF5)+VLOOKUP($Y6,$A$4:$I$70,9),AF5)</f>
        <v>2280</v>
      </c>
      <c r="AG6" s="3">
        <f t="shared" si="2"/>
        <v>12828</v>
      </c>
    </row>
    <row r="7" spans="1:33" x14ac:dyDescent="0.35">
      <c r="A7" s="9">
        <v>4</v>
      </c>
      <c r="B7" s="11" t="s">
        <v>11</v>
      </c>
      <c r="C7" s="2">
        <v>51</v>
      </c>
      <c r="D7" s="2">
        <v>39</v>
      </c>
      <c r="E7" s="2">
        <v>37</v>
      </c>
      <c r="F7" s="2">
        <v>39</v>
      </c>
      <c r="G7" s="2">
        <v>27</v>
      </c>
      <c r="H7" s="2">
        <v>39</v>
      </c>
      <c r="I7" s="2">
        <v>44</v>
      </c>
      <c r="J7" s="3">
        <f t="shared" si="1"/>
        <v>276</v>
      </c>
      <c r="N7" s="5">
        <v>31</v>
      </c>
      <c r="O7" s="2">
        <v>252</v>
      </c>
      <c r="P7" s="2">
        <v>235</v>
      </c>
      <c r="Q7" s="2">
        <v>184</v>
      </c>
      <c r="R7" s="2">
        <v>61</v>
      </c>
      <c r="S7" s="2">
        <v>201</v>
      </c>
      <c r="T7" s="2">
        <v>61</v>
      </c>
      <c r="U7" s="2">
        <v>131</v>
      </c>
      <c r="V7" s="3">
        <f t="shared" si="0"/>
        <v>1125</v>
      </c>
      <c r="Y7" s="1">
        <v>31</v>
      </c>
      <c r="Z7" s="3">
        <f t="shared" ref="Z7:Z70" si="3">_xlfn.IFNA( Z6+VLOOKUP($Y7,$A$4:$I$70,3,FALSE),Z6)</f>
        <v>1126</v>
      </c>
      <c r="AA7" s="3">
        <f t="shared" ref="AA7:AA70" si="4">_xlfn.IFNA(MAX(Z7,AA6)+VLOOKUP($Y7,$A$4:$I$70,4,FALSE),AA6)</f>
        <v>1965</v>
      </c>
      <c r="AB7" s="3">
        <f t="shared" ref="AB7:AB70" si="5">_xlfn.IFNA(MAX(AA7,AB6)+VLOOKUP($Y7,$A$4:$I$70,5),AB6)</f>
        <v>2149</v>
      </c>
      <c r="AC7" s="3">
        <f t="shared" ref="AC7:AC70" si="6">_xlfn.IFNA(MAX(AB7,AC6)+VLOOKUP($Y7,$A$4:$I$70,6,FALSE),AC6)</f>
        <v>2210</v>
      </c>
      <c r="AD7" s="3">
        <f t="shared" ref="AD7:AD70" si="7">_xlfn.IFNA(MAX(AC7,AD6)+VLOOKUP($Y7,$A$4:$I$70,7,FALSE),AD6)</f>
        <v>2411</v>
      </c>
      <c r="AE7" s="3">
        <f t="shared" ref="AE7:AE70" si="8">_xlfn.IFNA(MAX(AD7,AE6)+VLOOKUP($Y7,$A$4:$I$70,8,FALSE),AE6)</f>
        <v>2472</v>
      </c>
      <c r="AF7" s="3">
        <f t="shared" ref="AF7:AF69" si="9">_xlfn.IFNA(MAX(AE7,AF6)+VLOOKUP($Y7,$A$4:$I$70,9),AF6)</f>
        <v>2603</v>
      </c>
      <c r="AG7" s="3">
        <f t="shared" si="2"/>
        <v>14936</v>
      </c>
    </row>
    <row r="8" spans="1:33" x14ac:dyDescent="0.35">
      <c r="A8" s="9">
        <v>5</v>
      </c>
      <c r="B8" s="11" t="s">
        <v>15</v>
      </c>
      <c r="C8" s="2">
        <v>347</v>
      </c>
      <c r="D8" s="2">
        <v>587</v>
      </c>
      <c r="E8" s="2">
        <v>176</v>
      </c>
      <c r="F8" s="2">
        <v>36</v>
      </c>
      <c r="G8" s="2">
        <v>232</v>
      </c>
      <c r="H8" s="2">
        <v>36</v>
      </c>
      <c r="I8" s="2">
        <v>221</v>
      </c>
      <c r="J8" s="3">
        <f t="shared" si="1"/>
        <v>1635</v>
      </c>
      <c r="N8" s="5">
        <v>46</v>
      </c>
      <c r="O8" s="2">
        <v>219</v>
      </c>
      <c r="P8" s="2">
        <v>204</v>
      </c>
      <c r="Q8" s="2">
        <v>284</v>
      </c>
      <c r="R8" s="2">
        <v>134</v>
      </c>
      <c r="S8" s="2">
        <v>56</v>
      </c>
      <c r="T8" s="2">
        <v>134</v>
      </c>
      <c r="U8" s="2">
        <v>65</v>
      </c>
      <c r="V8" s="3">
        <f t="shared" si="0"/>
        <v>1096</v>
      </c>
      <c r="Y8" s="1">
        <v>46</v>
      </c>
      <c r="Z8" s="3">
        <f t="shared" si="3"/>
        <v>1345</v>
      </c>
      <c r="AA8" s="3">
        <f t="shared" si="4"/>
        <v>2169</v>
      </c>
      <c r="AB8" s="3">
        <f t="shared" si="5"/>
        <v>2453</v>
      </c>
      <c r="AC8" s="3">
        <f t="shared" si="6"/>
        <v>2587</v>
      </c>
      <c r="AD8" s="3">
        <f t="shared" si="7"/>
        <v>2643</v>
      </c>
      <c r="AE8" s="3">
        <f t="shared" si="8"/>
        <v>2777</v>
      </c>
      <c r="AF8" s="3">
        <f t="shared" si="9"/>
        <v>2842</v>
      </c>
      <c r="AG8" s="3">
        <f t="shared" si="2"/>
        <v>16816</v>
      </c>
    </row>
    <row r="9" spans="1:33" x14ac:dyDescent="0.35">
      <c r="A9" s="9">
        <v>6</v>
      </c>
      <c r="B9" s="11" t="s">
        <v>16</v>
      </c>
      <c r="C9" s="2">
        <v>130</v>
      </c>
      <c r="D9" s="2">
        <v>94</v>
      </c>
      <c r="E9" s="2">
        <v>22</v>
      </c>
      <c r="F9" s="2">
        <v>27</v>
      </c>
      <c r="G9" s="2">
        <v>66</v>
      </c>
      <c r="H9" s="2">
        <v>27</v>
      </c>
      <c r="I9" s="2">
        <v>88</v>
      </c>
      <c r="J9" s="3">
        <f t="shared" si="1"/>
        <v>454</v>
      </c>
      <c r="N9" s="5">
        <v>9</v>
      </c>
      <c r="O9" s="2">
        <v>303</v>
      </c>
      <c r="P9" s="2">
        <v>245</v>
      </c>
      <c r="Q9" s="2">
        <v>48</v>
      </c>
      <c r="R9" s="2">
        <v>47</v>
      </c>
      <c r="S9" s="2">
        <v>133</v>
      </c>
      <c r="T9" s="2">
        <v>47</v>
      </c>
      <c r="U9" s="2">
        <v>87</v>
      </c>
      <c r="V9" s="3">
        <f t="shared" si="0"/>
        <v>910</v>
      </c>
      <c r="Y9" s="1">
        <v>9</v>
      </c>
      <c r="Z9" s="3">
        <f t="shared" si="3"/>
        <v>1648</v>
      </c>
      <c r="AA9" s="3">
        <f t="shared" si="4"/>
        <v>2414</v>
      </c>
      <c r="AB9" s="3">
        <f t="shared" si="5"/>
        <v>2501</v>
      </c>
      <c r="AC9" s="3">
        <f t="shared" si="6"/>
        <v>2634</v>
      </c>
      <c r="AD9" s="3">
        <f t="shared" si="7"/>
        <v>2776</v>
      </c>
      <c r="AE9" s="3">
        <f t="shared" si="8"/>
        <v>2824</v>
      </c>
      <c r="AF9" s="3">
        <f t="shared" si="9"/>
        <v>2929</v>
      </c>
      <c r="AG9" s="3">
        <f t="shared" si="2"/>
        <v>17726</v>
      </c>
    </row>
    <row r="10" spans="1:33" x14ac:dyDescent="0.35">
      <c r="A10" s="9">
        <v>7</v>
      </c>
      <c r="B10" s="11" t="s">
        <v>17</v>
      </c>
      <c r="C10" s="2">
        <v>150</v>
      </c>
      <c r="D10" s="2">
        <v>139</v>
      </c>
      <c r="E10" s="2">
        <v>79</v>
      </c>
      <c r="F10" s="2">
        <v>49</v>
      </c>
      <c r="G10" s="2">
        <v>106</v>
      </c>
      <c r="H10" s="2">
        <v>49</v>
      </c>
      <c r="I10" s="2">
        <v>23</v>
      </c>
      <c r="J10" s="3">
        <f t="shared" si="1"/>
        <v>595</v>
      </c>
      <c r="N10" s="5">
        <v>40</v>
      </c>
      <c r="O10" s="2">
        <v>216</v>
      </c>
      <c r="P10" s="2">
        <v>205</v>
      </c>
      <c r="Q10" s="2">
        <v>110</v>
      </c>
      <c r="R10" s="2">
        <v>57</v>
      </c>
      <c r="S10" s="2">
        <v>156</v>
      </c>
      <c r="T10" s="2">
        <v>57</v>
      </c>
      <c r="U10" s="2">
        <v>25</v>
      </c>
      <c r="V10" s="3">
        <f t="shared" si="0"/>
        <v>826</v>
      </c>
      <c r="Y10" s="1">
        <v>40</v>
      </c>
      <c r="Z10" s="3">
        <f t="shared" si="3"/>
        <v>1864</v>
      </c>
      <c r="AA10" s="3">
        <f t="shared" si="4"/>
        <v>2619</v>
      </c>
      <c r="AB10" s="3">
        <f t="shared" si="5"/>
        <v>2729</v>
      </c>
      <c r="AC10" s="3">
        <f t="shared" si="6"/>
        <v>2786</v>
      </c>
      <c r="AD10" s="3">
        <f t="shared" si="7"/>
        <v>2942</v>
      </c>
      <c r="AE10" s="3">
        <f t="shared" si="8"/>
        <v>2999</v>
      </c>
      <c r="AF10" s="3">
        <f t="shared" si="9"/>
        <v>3024</v>
      </c>
      <c r="AG10" s="3">
        <f t="shared" si="2"/>
        <v>18963</v>
      </c>
    </row>
    <row r="11" spans="1:33" x14ac:dyDescent="0.35">
      <c r="A11" s="9">
        <v>8</v>
      </c>
      <c r="B11" s="11" t="s">
        <v>18</v>
      </c>
      <c r="C11" s="2">
        <v>85</v>
      </c>
      <c r="D11" s="2">
        <v>61</v>
      </c>
      <c r="E11" s="2">
        <v>49</v>
      </c>
      <c r="F11" s="2">
        <v>28</v>
      </c>
      <c r="G11" s="2">
        <v>17</v>
      </c>
      <c r="H11" s="2">
        <v>28</v>
      </c>
      <c r="I11" s="2">
        <v>73</v>
      </c>
      <c r="J11" s="3">
        <f t="shared" si="1"/>
        <v>341</v>
      </c>
      <c r="N11" s="5">
        <v>66</v>
      </c>
      <c r="O11" s="2">
        <v>198</v>
      </c>
      <c r="P11" s="2">
        <v>108</v>
      </c>
      <c r="Q11" s="2">
        <v>154</v>
      </c>
      <c r="R11" s="2">
        <v>61</v>
      </c>
      <c r="S11" s="2">
        <v>22</v>
      </c>
      <c r="T11" s="2">
        <v>61</v>
      </c>
      <c r="U11" s="2">
        <v>114</v>
      </c>
      <c r="V11" s="3">
        <f t="shared" si="0"/>
        <v>718</v>
      </c>
      <c r="Y11" s="1">
        <v>66</v>
      </c>
      <c r="Z11" s="3">
        <f t="shared" si="3"/>
        <v>2062</v>
      </c>
      <c r="AA11" s="3">
        <f t="shared" si="4"/>
        <v>2727</v>
      </c>
      <c r="AB11" s="3">
        <f t="shared" si="5"/>
        <v>2883</v>
      </c>
      <c r="AC11" s="3">
        <f t="shared" si="6"/>
        <v>2944</v>
      </c>
      <c r="AD11" s="3">
        <f t="shared" si="7"/>
        <v>2966</v>
      </c>
      <c r="AE11" s="3">
        <f t="shared" si="8"/>
        <v>3060</v>
      </c>
      <c r="AF11" s="3">
        <f t="shared" si="9"/>
        <v>3174</v>
      </c>
      <c r="AG11" s="3">
        <f t="shared" si="2"/>
        <v>19816</v>
      </c>
    </row>
    <row r="12" spans="1:33" x14ac:dyDescent="0.35">
      <c r="A12" s="9">
        <v>9</v>
      </c>
      <c r="B12" s="11" t="s">
        <v>19</v>
      </c>
      <c r="C12" s="2">
        <v>303</v>
      </c>
      <c r="D12" s="2">
        <v>245</v>
      </c>
      <c r="E12" s="2">
        <v>48</v>
      </c>
      <c r="F12" s="2">
        <v>47</v>
      </c>
      <c r="G12" s="2">
        <v>133</v>
      </c>
      <c r="H12" s="2">
        <v>47</v>
      </c>
      <c r="I12" s="2">
        <v>87</v>
      </c>
      <c r="J12" s="3">
        <f t="shared" si="1"/>
        <v>910</v>
      </c>
      <c r="N12" s="5">
        <v>61</v>
      </c>
      <c r="O12" s="2">
        <v>222</v>
      </c>
      <c r="P12" s="2">
        <v>135</v>
      </c>
      <c r="Q12" s="2">
        <v>171</v>
      </c>
      <c r="R12" s="2">
        <v>46</v>
      </c>
      <c r="S12" s="2">
        <v>36</v>
      </c>
      <c r="T12" s="2">
        <v>46</v>
      </c>
      <c r="U12" s="2">
        <v>54</v>
      </c>
      <c r="V12" s="3">
        <f t="shared" si="0"/>
        <v>710</v>
      </c>
      <c r="Y12" s="1">
        <v>61</v>
      </c>
      <c r="Z12" s="3">
        <f t="shared" si="3"/>
        <v>2284</v>
      </c>
      <c r="AA12" s="3">
        <f t="shared" si="4"/>
        <v>2862</v>
      </c>
      <c r="AB12" s="3">
        <f t="shared" si="5"/>
        <v>3054</v>
      </c>
      <c r="AC12" s="3">
        <f t="shared" si="6"/>
        <v>3100</v>
      </c>
      <c r="AD12" s="3">
        <f t="shared" si="7"/>
        <v>3136</v>
      </c>
      <c r="AE12" s="3">
        <f t="shared" si="8"/>
        <v>3182</v>
      </c>
      <c r="AF12" s="3">
        <f t="shared" si="9"/>
        <v>3236</v>
      </c>
      <c r="AG12" s="3">
        <f t="shared" si="2"/>
        <v>20854</v>
      </c>
    </row>
    <row r="13" spans="1:33" x14ac:dyDescent="0.35">
      <c r="A13" s="9">
        <v>10</v>
      </c>
      <c r="B13" s="11" t="s">
        <v>20</v>
      </c>
      <c r="C13" s="2">
        <v>20</v>
      </c>
      <c r="D13" s="2">
        <v>16</v>
      </c>
      <c r="E13" s="2">
        <v>18</v>
      </c>
      <c r="F13" s="2">
        <v>29</v>
      </c>
      <c r="G13" s="2">
        <v>10</v>
      </c>
      <c r="H13" s="2">
        <v>29</v>
      </c>
      <c r="I13" s="2">
        <v>17</v>
      </c>
      <c r="J13" s="3">
        <f t="shared" si="1"/>
        <v>139</v>
      </c>
      <c r="N13" s="5">
        <v>33</v>
      </c>
      <c r="O13" s="2">
        <v>217</v>
      </c>
      <c r="P13" s="2">
        <v>132</v>
      </c>
      <c r="Q13" s="2">
        <v>167</v>
      </c>
      <c r="R13" s="2">
        <v>46</v>
      </c>
      <c r="S13" s="2">
        <v>35</v>
      </c>
      <c r="T13" s="2">
        <v>46</v>
      </c>
      <c r="U13" s="2">
        <v>53</v>
      </c>
      <c r="V13" s="3">
        <f t="shared" si="0"/>
        <v>696</v>
      </c>
      <c r="Y13" s="1">
        <v>33</v>
      </c>
      <c r="Z13" s="3">
        <f t="shared" si="3"/>
        <v>2501</v>
      </c>
      <c r="AA13" s="3">
        <f t="shared" si="4"/>
        <v>2994</v>
      </c>
      <c r="AB13" s="3">
        <f t="shared" si="5"/>
        <v>3221</v>
      </c>
      <c r="AC13" s="3">
        <f t="shared" si="6"/>
        <v>3267</v>
      </c>
      <c r="AD13" s="3">
        <f t="shared" si="7"/>
        <v>3302</v>
      </c>
      <c r="AE13" s="3">
        <f t="shared" si="8"/>
        <v>3348</v>
      </c>
      <c r="AF13" s="3">
        <f t="shared" si="9"/>
        <v>3401</v>
      </c>
      <c r="AG13" s="3">
        <f t="shared" si="2"/>
        <v>22034</v>
      </c>
    </row>
    <row r="14" spans="1:33" x14ac:dyDescent="0.35">
      <c r="A14" s="9">
        <v>11</v>
      </c>
      <c r="B14" s="11" t="s">
        <v>21</v>
      </c>
      <c r="C14" s="2">
        <v>38</v>
      </c>
      <c r="D14" s="2">
        <v>36</v>
      </c>
      <c r="E14" s="2">
        <v>18</v>
      </c>
      <c r="F14" s="2">
        <v>37</v>
      </c>
      <c r="G14" s="2">
        <v>23</v>
      </c>
      <c r="H14" s="2">
        <v>37</v>
      </c>
      <c r="I14" s="2">
        <v>40</v>
      </c>
      <c r="J14" s="3">
        <f t="shared" si="1"/>
        <v>229</v>
      </c>
      <c r="N14" s="5">
        <v>63</v>
      </c>
      <c r="O14" s="2">
        <v>134</v>
      </c>
      <c r="P14" s="2">
        <v>120</v>
      </c>
      <c r="Q14" s="2">
        <v>172</v>
      </c>
      <c r="R14" s="2">
        <v>83</v>
      </c>
      <c r="S14" s="2">
        <v>38</v>
      </c>
      <c r="T14" s="2">
        <v>83</v>
      </c>
      <c r="U14" s="2">
        <v>44</v>
      </c>
      <c r="V14" s="3">
        <f t="shared" si="0"/>
        <v>674</v>
      </c>
      <c r="Y14" s="1">
        <v>63</v>
      </c>
      <c r="Z14" s="3">
        <f t="shared" si="3"/>
        <v>2635</v>
      </c>
      <c r="AA14" s="3">
        <f t="shared" si="4"/>
        <v>3114</v>
      </c>
      <c r="AB14" s="3">
        <f t="shared" si="5"/>
        <v>3393</v>
      </c>
      <c r="AC14" s="3">
        <f t="shared" si="6"/>
        <v>3476</v>
      </c>
      <c r="AD14" s="3">
        <f t="shared" si="7"/>
        <v>3514</v>
      </c>
      <c r="AE14" s="3">
        <f t="shared" si="8"/>
        <v>3597</v>
      </c>
      <c r="AF14" s="3">
        <f t="shared" si="9"/>
        <v>3641</v>
      </c>
      <c r="AG14" s="3">
        <f t="shared" si="2"/>
        <v>23370</v>
      </c>
    </row>
    <row r="15" spans="1:33" x14ac:dyDescent="0.35">
      <c r="A15" s="9">
        <v>12</v>
      </c>
      <c r="B15" s="11" t="s">
        <v>22</v>
      </c>
      <c r="C15" s="2">
        <v>42</v>
      </c>
      <c r="D15" s="2">
        <v>31</v>
      </c>
      <c r="E15" s="2">
        <v>35</v>
      </c>
      <c r="F15" s="2">
        <v>54</v>
      </c>
      <c r="G15" s="2">
        <v>24</v>
      </c>
      <c r="H15" s="2">
        <v>54</v>
      </c>
      <c r="I15" s="2">
        <v>25</v>
      </c>
      <c r="J15" s="3">
        <f t="shared" si="1"/>
        <v>265</v>
      </c>
      <c r="N15" s="5">
        <v>53</v>
      </c>
      <c r="O15" s="2">
        <v>130</v>
      </c>
      <c r="P15" s="2">
        <v>100</v>
      </c>
      <c r="Q15" s="2">
        <v>98</v>
      </c>
      <c r="R15" s="2">
        <v>84</v>
      </c>
      <c r="S15" s="2">
        <v>52</v>
      </c>
      <c r="T15" s="2">
        <v>84</v>
      </c>
      <c r="U15" s="2">
        <v>99</v>
      </c>
      <c r="V15" s="3">
        <f t="shared" si="0"/>
        <v>647</v>
      </c>
      <c r="Y15" s="1">
        <v>53</v>
      </c>
      <c r="Z15" s="3">
        <f t="shared" si="3"/>
        <v>2765</v>
      </c>
      <c r="AA15" s="3">
        <f t="shared" si="4"/>
        <v>3214</v>
      </c>
      <c r="AB15" s="3">
        <f t="shared" si="5"/>
        <v>3491</v>
      </c>
      <c r="AC15" s="3">
        <f t="shared" si="6"/>
        <v>3575</v>
      </c>
      <c r="AD15" s="3">
        <f t="shared" si="7"/>
        <v>3627</v>
      </c>
      <c r="AE15" s="3">
        <f t="shared" si="8"/>
        <v>3711</v>
      </c>
      <c r="AF15" s="3">
        <f t="shared" si="9"/>
        <v>3810</v>
      </c>
      <c r="AG15" s="3">
        <f t="shared" si="2"/>
        <v>24193</v>
      </c>
    </row>
    <row r="16" spans="1:33" x14ac:dyDescent="0.35">
      <c r="A16" s="9">
        <v>13</v>
      </c>
      <c r="B16" s="11" t="s">
        <v>23</v>
      </c>
      <c r="C16" s="2">
        <v>40</v>
      </c>
      <c r="D16" s="2">
        <v>31</v>
      </c>
      <c r="E16" s="2">
        <v>30</v>
      </c>
      <c r="F16" s="2">
        <v>52</v>
      </c>
      <c r="G16" s="2">
        <v>24</v>
      </c>
      <c r="H16" s="2">
        <v>52</v>
      </c>
      <c r="I16" s="2">
        <v>27</v>
      </c>
      <c r="J16" s="3">
        <f t="shared" si="1"/>
        <v>256</v>
      </c>
      <c r="N16" s="5">
        <v>49</v>
      </c>
      <c r="O16" s="2">
        <v>124</v>
      </c>
      <c r="P16" s="2">
        <v>138</v>
      </c>
      <c r="Q16" s="2">
        <v>101</v>
      </c>
      <c r="R16" s="2">
        <v>45</v>
      </c>
      <c r="S16" s="2">
        <v>85</v>
      </c>
      <c r="T16" s="2">
        <v>45</v>
      </c>
      <c r="U16" s="2">
        <v>107</v>
      </c>
      <c r="V16" s="3">
        <f t="shared" si="0"/>
        <v>645</v>
      </c>
      <c r="Y16" s="1">
        <v>49</v>
      </c>
      <c r="Z16" s="3">
        <f t="shared" si="3"/>
        <v>2889</v>
      </c>
      <c r="AA16" s="3">
        <f t="shared" si="4"/>
        <v>3352</v>
      </c>
      <c r="AB16" s="3">
        <f t="shared" si="5"/>
        <v>3592</v>
      </c>
      <c r="AC16" s="3">
        <f t="shared" si="6"/>
        <v>3637</v>
      </c>
      <c r="AD16" s="3">
        <f t="shared" si="7"/>
        <v>3722</v>
      </c>
      <c r="AE16" s="3">
        <f t="shared" si="8"/>
        <v>3767</v>
      </c>
      <c r="AF16" s="3">
        <f t="shared" si="9"/>
        <v>3917</v>
      </c>
      <c r="AG16" s="3">
        <f t="shared" si="2"/>
        <v>24876</v>
      </c>
    </row>
    <row r="17" spans="1:33" x14ac:dyDescent="0.35">
      <c r="A17" s="9">
        <v>14</v>
      </c>
      <c r="B17" s="11" t="s">
        <v>24</v>
      </c>
      <c r="C17" s="2">
        <v>44</v>
      </c>
      <c r="D17" s="2">
        <v>36</v>
      </c>
      <c r="E17" s="2">
        <v>42</v>
      </c>
      <c r="F17" s="2">
        <v>30</v>
      </c>
      <c r="G17" s="2">
        <v>23</v>
      </c>
      <c r="H17" s="2">
        <v>30</v>
      </c>
      <c r="I17" s="2">
        <v>27</v>
      </c>
      <c r="J17" s="3">
        <f t="shared" si="1"/>
        <v>232</v>
      </c>
      <c r="N17" s="5">
        <v>17</v>
      </c>
      <c r="O17" s="2">
        <v>191</v>
      </c>
      <c r="P17" s="2">
        <v>85</v>
      </c>
      <c r="Q17" s="2">
        <v>67</v>
      </c>
      <c r="R17" s="2">
        <v>51</v>
      </c>
      <c r="S17" s="2">
        <v>63</v>
      </c>
      <c r="T17" s="2">
        <v>51</v>
      </c>
      <c r="U17" s="2">
        <v>135</v>
      </c>
      <c r="V17" s="3">
        <f t="shared" si="0"/>
        <v>643</v>
      </c>
      <c r="Y17" s="1">
        <v>17</v>
      </c>
      <c r="Z17" s="3">
        <f t="shared" si="3"/>
        <v>3080</v>
      </c>
      <c r="AA17" s="3">
        <f t="shared" si="4"/>
        <v>3437</v>
      </c>
      <c r="AB17" s="3">
        <f t="shared" si="5"/>
        <v>3659</v>
      </c>
      <c r="AC17" s="3">
        <f t="shared" si="6"/>
        <v>3710</v>
      </c>
      <c r="AD17" s="3">
        <f t="shared" si="7"/>
        <v>3785</v>
      </c>
      <c r="AE17" s="3">
        <f t="shared" si="8"/>
        <v>3836</v>
      </c>
      <c r="AF17" s="3">
        <f t="shared" si="9"/>
        <v>4052</v>
      </c>
      <c r="AG17" s="3">
        <f t="shared" si="2"/>
        <v>25559</v>
      </c>
    </row>
    <row r="18" spans="1:33" x14ac:dyDescent="0.35">
      <c r="A18" s="9">
        <v>15</v>
      </c>
      <c r="B18" s="11" t="s">
        <v>25</v>
      </c>
      <c r="C18" s="2">
        <v>47</v>
      </c>
      <c r="D18" s="2">
        <v>32</v>
      </c>
      <c r="E18" s="2">
        <v>17</v>
      </c>
      <c r="F18" s="2">
        <v>38</v>
      </c>
      <c r="G18" s="2">
        <v>34</v>
      </c>
      <c r="H18" s="2">
        <v>38</v>
      </c>
      <c r="I18" s="2">
        <v>42</v>
      </c>
      <c r="J18" s="3">
        <f t="shared" si="1"/>
        <v>248</v>
      </c>
      <c r="N18" s="5">
        <v>29</v>
      </c>
      <c r="O18" s="2">
        <v>125</v>
      </c>
      <c r="P18" s="2">
        <v>146</v>
      </c>
      <c r="Q18" s="2">
        <v>125</v>
      </c>
      <c r="R18" s="2">
        <v>52</v>
      </c>
      <c r="S18" s="2">
        <v>35</v>
      </c>
      <c r="T18" s="2">
        <v>52</v>
      </c>
      <c r="U18" s="2">
        <v>95</v>
      </c>
      <c r="V18" s="3">
        <f t="shared" si="0"/>
        <v>630</v>
      </c>
      <c r="Y18" s="1">
        <v>29</v>
      </c>
      <c r="Z18" s="3">
        <f t="shared" si="3"/>
        <v>3205</v>
      </c>
      <c r="AA18" s="3">
        <f t="shared" si="4"/>
        <v>3583</v>
      </c>
      <c r="AB18" s="3">
        <f t="shared" si="5"/>
        <v>3784</v>
      </c>
      <c r="AC18" s="3">
        <f t="shared" si="6"/>
        <v>3836</v>
      </c>
      <c r="AD18" s="3">
        <f t="shared" si="7"/>
        <v>3871</v>
      </c>
      <c r="AE18" s="3">
        <f t="shared" si="8"/>
        <v>3923</v>
      </c>
      <c r="AF18" s="3">
        <f t="shared" si="9"/>
        <v>4147</v>
      </c>
      <c r="AG18" s="3">
        <f t="shared" si="2"/>
        <v>26349</v>
      </c>
    </row>
    <row r="19" spans="1:33" x14ac:dyDescent="0.35">
      <c r="A19" s="9">
        <v>16</v>
      </c>
      <c r="B19" s="11" t="s">
        <v>26</v>
      </c>
      <c r="C19" s="2">
        <v>26</v>
      </c>
      <c r="D19" s="2">
        <v>16</v>
      </c>
      <c r="E19" s="2">
        <v>16</v>
      </c>
      <c r="F19" s="2">
        <v>29</v>
      </c>
      <c r="G19" s="2">
        <v>8</v>
      </c>
      <c r="H19" s="2">
        <v>29</v>
      </c>
      <c r="I19" s="2">
        <v>14</v>
      </c>
      <c r="J19" s="3">
        <f t="shared" si="1"/>
        <v>138</v>
      </c>
      <c r="N19" s="5">
        <v>7</v>
      </c>
      <c r="O19" s="2">
        <v>150</v>
      </c>
      <c r="P19" s="2">
        <v>139</v>
      </c>
      <c r="Q19" s="2">
        <v>79</v>
      </c>
      <c r="R19" s="2">
        <v>49</v>
      </c>
      <c r="S19" s="2">
        <v>106</v>
      </c>
      <c r="T19" s="2">
        <v>49</v>
      </c>
      <c r="U19" s="2">
        <v>23</v>
      </c>
      <c r="V19" s="3">
        <f t="shared" si="0"/>
        <v>595</v>
      </c>
      <c r="Y19" s="1">
        <v>7</v>
      </c>
      <c r="Z19" s="3">
        <f t="shared" si="3"/>
        <v>3355</v>
      </c>
      <c r="AA19" s="3">
        <f t="shared" si="4"/>
        <v>3722</v>
      </c>
      <c r="AB19" s="3">
        <f t="shared" si="5"/>
        <v>3863</v>
      </c>
      <c r="AC19" s="3">
        <f t="shared" si="6"/>
        <v>3912</v>
      </c>
      <c r="AD19" s="3">
        <f t="shared" si="7"/>
        <v>4018</v>
      </c>
      <c r="AE19" s="3">
        <f t="shared" si="8"/>
        <v>4067</v>
      </c>
      <c r="AF19" s="3">
        <f t="shared" si="9"/>
        <v>4170</v>
      </c>
      <c r="AG19" s="3">
        <f t="shared" si="2"/>
        <v>27107</v>
      </c>
    </row>
    <row r="20" spans="1:33" x14ac:dyDescent="0.35">
      <c r="A20" s="9">
        <v>17</v>
      </c>
      <c r="B20" s="11" t="s">
        <v>27</v>
      </c>
      <c r="C20" s="2">
        <v>191</v>
      </c>
      <c r="D20" s="2">
        <v>85</v>
      </c>
      <c r="E20" s="2">
        <v>67</v>
      </c>
      <c r="F20" s="2">
        <v>51</v>
      </c>
      <c r="G20" s="2">
        <v>63</v>
      </c>
      <c r="H20" s="2">
        <v>51</v>
      </c>
      <c r="I20" s="2">
        <v>135</v>
      </c>
      <c r="J20" s="3">
        <f t="shared" si="1"/>
        <v>643</v>
      </c>
      <c r="N20" s="5">
        <v>21</v>
      </c>
      <c r="O20" s="2">
        <v>134</v>
      </c>
      <c r="P20" s="2">
        <v>123</v>
      </c>
      <c r="Q20" s="2">
        <v>72</v>
      </c>
      <c r="R20" s="2">
        <v>42</v>
      </c>
      <c r="S20" s="2">
        <v>94</v>
      </c>
      <c r="T20" s="2">
        <v>42</v>
      </c>
      <c r="U20" s="2">
        <v>22</v>
      </c>
      <c r="V20" s="3">
        <f t="shared" si="0"/>
        <v>529</v>
      </c>
      <c r="Y20" s="1">
        <v>21</v>
      </c>
      <c r="Z20" s="3">
        <f t="shared" si="3"/>
        <v>3489</v>
      </c>
      <c r="AA20" s="3">
        <f t="shared" si="4"/>
        <v>3845</v>
      </c>
      <c r="AB20" s="3">
        <f t="shared" si="5"/>
        <v>3935</v>
      </c>
      <c r="AC20" s="3">
        <f t="shared" si="6"/>
        <v>3977</v>
      </c>
      <c r="AD20" s="3">
        <f t="shared" si="7"/>
        <v>4112</v>
      </c>
      <c r="AE20" s="3">
        <f t="shared" si="8"/>
        <v>4154</v>
      </c>
      <c r="AF20" s="3">
        <f t="shared" si="9"/>
        <v>4192</v>
      </c>
      <c r="AG20" s="3">
        <f t="shared" si="2"/>
        <v>27704</v>
      </c>
    </row>
    <row r="21" spans="1:33" x14ac:dyDescent="0.35">
      <c r="A21" s="9">
        <v>18</v>
      </c>
      <c r="B21" s="11" t="s">
        <v>28</v>
      </c>
      <c r="C21" s="2">
        <v>56</v>
      </c>
      <c r="D21" s="2">
        <v>42</v>
      </c>
      <c r="E21" s="2">
        <v>41</v>
      </c>
      <c r="F21" s="2">
        <v>39</v>
      </c>
      <c r="G21" s="2">
        <v>29</v>
      </c>
      <c r="H21" s="2">
        <v>39</v>
      </c>
      <c r="I21" s="2">
        <v>48</v>
      </c>
      <c r="J21" s="3">
        <f t="shared" si="1"/>
        <v>294</v>
      </c>
      <c r="N21" s="5">
        <v>37</v>
      </c>
      <c r="O21" s="2">
        <v>162</v>
      </c>
      <c r="P21" s="2">
        <v>72</v>
      </c>
      <c r="Q21" s="2">
        <v>58</v>
      </c>
      <c r="R21" s="2">
        <v>34</v>
      </c>
      <c r="S21" s="2">
        <v>54</v>
      </c>
      <c r="T21" s="2">
        <v>34</v>
      </c>
      <c r="U21" s="2">
        <v>115</v>
      </c>
      <c r="V21" s="3">
        <f t="shared" si="0"/>
        <v>529</v>
      </c>
      <c r="Y21" s="1">
        <v>37</v>
      </c>
      <c r="Z21" s="3">
        <f t="shared" si="3"/>
        <v>3651</v>
      </c>
      <c r="AA21" s="3">
        <f t="shared" si="4"/>
        <v>3917</v>
      </c>
      <c r="AB21" s="3">
        <f t="shared" si="5"/>
        <v>3993</v>
      </c>
      <c r="AC21" s="3">
        <f t="shared" si="6"/>
        <v>4027</v>
      </c>
      <c r="AD21" s="3">
        <f t="shared" si="7"/>
        <v>4166</v>
      </c>
      <c r="AE21" s="3">
        <f t="shared" si="8"/>
        <v>4200</v>
      </c>
      <c r="AF21" s="3">
        <f t="shared" si="9"/>
        <v>4315</v>
      </c>
      <c r="AG21" s="3">
        <f t="shared" si="2"/>
        <v>28269</v>
      </c>
    </row>
    <row r="22" spans="1:33" x14ac:dyDescent="0.35">
      <c r="A22" s="9">
        <v>19</v>
      </c>
      <c r="B22" s="11" t="s">
        <v>29</v>
      </c>
      <c r="C22" s="2">
        <v>256</v>
      </c>
      <c r="D22" s="2">
        <v>430</v>
      </c>
      <c r="E22" s="2">
        <v>130</v>
      </c>
      <c r="F22" s="2">
        <v>27</v>
      </c>
      <c r="G22" s="2">
        <v>172</v>
      </c>
      <c r="H22" s="2">
        <v>27</v>
      </c>
      <c r="I22" s="2">
        <v>167</v>
      </c>
      <c r="J22" s="3">
        <f t="shared" si="1"/>
        <v>1209</v>
      </c>
      <c r="N22" s="5">
        <v>3</v>
      </c>
      <c r="O22" s="2">
        <v>147</v>
      </c>
      <c r="P22" s="2">
        <v>66</v>
      </c>
      <c r="Q22" s="2">
        <v>54</v>
      </c>
      <c r="R22" s="2">
        <v>34</v>
      </c>
      <c r="S22" s="2">
        <v>49</v>
      </c>
      <c r="T22" s="2">
        <v>34</v>
      </c>
      <c r="U22" s="2">
        <v>106</v>
      </c>
      <c r="V22" s="3">
        <f t="shared" si="0"/>
        <v>490</v>
      </c>
      <c r="Y22" s="1">
        <v>3</v>
      </c>
      <c r="Z22" s="3">
        <f t="shared" si="3"/>
        <v>3798</v>
      </c>
      <c r="AA22" s="3">
        <f t="shared" si="4"/>
        <v>3983</v>
      </c>
      <c r="AB22" s="3">
        <f t="shared" si="5"/>
        <v>4047</v>
      </c>
      <c r="AC22" s="3">
        <f t="shared" si="6"/>
        <v>4081</v>
      </c>
      <c r="AD22" s="3">
        <f t="shared" si="7"/>
        <v>4215</v>
      </c>
      <c r="AE22" s="3">
        <f t="shared" si="8"/>
        <v>4249</v>
      </c>
      <c r="AF22" s="3">
        <f t="shared" si="9"/>
        <v>4421</v>
      </c>
      <c r="AG22" s="3">
        <f t="shared" si="2"/>
        <v>28794</v>
      </c>
    </row>
    <row r="23" spans="1:33" x14ac:dyDescent="0.35">
      <c r="A23" s="9">
        <v>20</v>
      </c>
      <c r="B23" s="11" t="s">
        <v>30</v>
      </c>
      <c r="C23" s="2">
        <v>90</v>
      </c>
      <c r="D23" s="2">
        <v>65</v>
      </c>
      <c r="E23" s="2">
        <v>18</v>
      </c>
      <c r="F23" s="2">
        <v>27</v>
      </c>
      <c r="G23" s="2">
        <v>44</v>
      </c>
      <c r="H23" s="2">
        <v>27</v>
      </c>
      <c r="I23" s="2">
        <v>64</v>
      </c>
      <c r="J23" s="3">
        <f t="shared" si="1"/>
        <v>335</v>
      </c>
      <c r="N23" s="5">
        <v>45</v>
      </c>
      <c r="O23" s="2">
        <v>124</v>
      </c>
      <c r="P23" s="2">
        <v>106</v>
      </c>
      <c r="Q23" s="2">
        <v>36</v>
      </c>
      <c r="R23" s="2">
        <v>37</v>
      </c>
      <c r="S23" s="2">
        <v>37</v>
      </c>
      <c r="T23" s="2">
        <v>37</v>
      </c>
      <c r="U23" s="2">
        <v>78</v>
      </c>
      <c r="V23" s="3">
        <f t="shared" si="0"/>
        <v>455</v>
      </c>
      <c r="Y23" s="1">
        <v>45</v>
      </c>
      <c r="Z23" s="3">
        <f t="shared" si="3"/>
        <v>3922</v>
      </c>
      <c r="AA23" s="3">
        <f t="shared" si="4"/>
        <v>4089</v>
      </c>
      <c r="AB23" s="3">
        <f t="shared" si="5"/>
        <v>4125</v>
      </c>
      <c r="AC23" s="3">
        <f t="shared" si="6"/>
        <v>4162</v>
      </c>
      <c r="AD23" s="3">
        <f t="shared" si="7"/>
        <v>4252</v>
      </c>
      <c r="AE23" s="3">
        <f t="shared" si="8"/>
        <v>4289</v>
      </c>
      <c r="AF23" s="3">
        <f t="shared" si="9"/>
        <v>4499</v>
      </c>
      <c r="AG23" s="3">
        <f t="shared" si="2"/>
        <v>29338</v>
      </c>
    </row>
    <row r="24" spans="1:33" x14ac:dyDescent="0.35">
      <c r="A24" s="9">
        <v>21</v>
      </c>
      <c r="B24" s="11" t="s">
        <v>31</v>
      </c>
      <c r="C24" s="2">
        <v>134</v>
      </c>
      <c r="D24" s="2">
        <v>123</v>
      </c>
      <c r="E24" s="2">
        <v>72</v>
      </c>
      <c r="F24" s="2">
        <v>42</v>
      </c>
      <c r="G24" s="2">
        <v>94</v>
      </c>
      <c r="H24" s="2">
        <v>42</v>
      </c>
      <c r="I24" s="2">
        <v>22</v>
      </c>
      <c r="J24" s="3">
        <f t="shared" si="1"/>
        <v>529</v>
      </c>
      <c r="N24" s="5">
        <v>6</v>
      </c>
      <c r="O24" s="2">
        <v>130</v>
      </c>
      <c r="P24" s="2">
        <v>94</v>
      </c>
      <c r="Q24" s="2">
        <v>22</v>
      </c>
      <c r="R24" s="2">
        <v>27</v>
      </c>
      <c r="S24" s="2">
        <v>66</v>
      </c>
      <c r="T24" s="2">
        <v>27</v>
      </c>
      <c r="U24" s="2">
        <v>88</v>
      </c>
      <c r="V24" s="3">
        <f t="shared" si="0"/>
        <v>454</v>
      </c>
      <c r="Y24" s="1">
        <v>6</v>
      </c>
      <c r="Z24" s="3">
        <f t="shared" si="3"/>
        <v>4052</v>
      </c>
      <c r="AA24" s="3">
        <f t="shared" si="4"/>
        <v>4183</v>
      </c>
      <c r="AB24" s="3">
        <f t="shared" si="5"/>
        <v>4205</v>
      </c>
      <c r="AC24" s="3">
        <f t="shared" si="6"/>
        <v>4232</v>
      </c>
      <c r="AD24" s="3">
        <f t="shared" si="7"/>
        <v>4318</v>
      </c>
      <c r="AE24" s="3">
        <f t="shared" si="8"/>
        <v>4345</v>
      </c>
      <c r="AF24" s="3">
        <f t="shared" si="9"/>
        <v>4587</v>
      </c>
      <c r="AG24" s="3">
        <f t="shared" si="2"/>
        <v>29922</v>
      </c>
    </row>
    <row r="25" spans="1:33" x14ac:dyDescent="0.35">
      <c r="A25" s="9">
        <v>22</v>
      </c>
      <c r="B25" s="11" t="s">
        <v>32</v>
      </c>
      <c r="C25" s="2">
        <v>33</v>
      </c>
      <c r="D25" s="2">
        <v>29</v>
      </c>
      <c r="E25" s="2">
        <v>16</v>
      </c>
      <c r="F25" s="2">
        <v>37</v>
      </c>
      <c r="G25" s="2">
        <v>20</v>
      </c>
      <c r="H25" s="2">
        <v>37</v>
      </c>
      <c r="I25" s="2">
        <v>34</v>
      </c>
      <c r="J25" s="3">
        <f t="shared" si="1"/>
        <v>206</v>
      </c>
      <c r="N25" s="5">
        <v>41</v>
      </c>
      <c r="O25" s="2">
        <v>73</v>
      </c>
      <c r="P25" s="2">
        <v>51</v>
      </c>
      <c r="Q25" s="2">
        <v>55</v>
      </c>
      <c r="R25" s="2">
        <v>92</v>
      </c>
      <c r="S25" s="2">
        <v>42</v>
      </c>
      <c r="T25" s="2">
        <v>92</v>
      </c>
      <c r="U25" s="2">
        <v>33</v>
      </c>
      <c r="V25" s="3">
        <f t="shared" si="0"/>
        <v>438</v>
      </c>
      <c r="Y25" s="1">
        <v>41</v>
      </c>
      <c r="Z25" s="3">
        <f t="shared" si="3"/>
        <v>4125</v>
      </c>
      <c r="AA25" s="3">
        <f t="shared" si="4"/>
        <v>4234</v>
      </c>
      <c r="AB25" s="3">
        <f t="shared" si="5"/>
        <v>4289</v>
      </c>
      <c r="AC25" s="3">
        <f t="shared" si="6"/>
        <v>4381</v>
      </c>
      <c r="AD25" s="3">
        <f t="shared" si="7"/>
        <v>4423</v>
      </c>
      <c r="AE25" s="3">
        <f t="shared" si="8"/>
        <v>4515</v>
      </c>
      <c r="AF25" s="3">
        <f t="shared" si="9"/>
        <v>4620</v>
      </c>
      <c r="AG25" s="3">
        <f t="shared" si="2"/>
        <v>30587</v>
      </c>
    </row>
    <row r="26" spans="1:33" x14ac:dyDescent="0.35">
      <c r="A26" s="9">
        <v>23</v>
      </c>
      <c r="B26" s="11" t="s">
        <v>33</v>
      </c>
      <c r="C26" s="2">
        <v>21</v>
      </c>
      <c r="D26" s="2">
        <v>18</v>
      </c>
      <c r="E26" s="2">
        <v>22</v>
      </c>
      <c r="F26" s="2">
        <v>29</v>
      </c>
      <c r="G26" s="2">
        <v>12</v>
      </c>
      <c r="H26" s="2">
        <v>29</v>
      </c>
      <c r="I26" s="2">
        <v>20</v>
      </c>
      <c r="J26" s="3">
        <f t="shared" si="1"/>
        <v>151</v>
      </c>
      <c r="N26" s="5">
        <v>54</v>
      </c>
      <c r="O26" s="2">
        <v>105</v>
      </c>
      <c r="P26" s="2">
        <v>94</v>
      </c>
      <c r="Q26" s="2">
        <v>58</v>
      </c>
      <c r="R26" s="2">
        <v>42</v>
      </c>
      <c r="S26" s="2">
        <v>72</v>
      </c>
      <c r="T26" s="2">
        <v>42</v>
      </c>
      <c r="U26" s="2">
        <v>21</v>
      </c>
      <c r="V26" s="3">
        <f t="shared" si="0"/>
        <v>434</v>
      </c>
      <c r="Y26" s="1">
        <v>54</v>
      </c>
      <c r="Z26" s="3">
        <f t="shared" si="3"/>
        <v>4230</v>
      </c>
      <c r="AA26" s="3">
        <f t="shared" si="4"/>
        <v>4328</v>
      </c>
      <c r="AB26" s="3">
        <f t="shared" si="5"/>
        <v>4386</v>
      </c>
      <c r="AC26" s="3">
        <f t="shared" si="6"/>
        <v>4428</v>
      </c>
      <c r="AD26" s="3">
        <f t="shared" si="7"/>
        <v>4500</v>
      </c>
      <c r="AE26" s="3">
        <f t="shared" si="8"/>
        <v>4557</v>
      </c>
      <c r="AF26" s="3">
        <f t="shared" si="9"/>
        <v>4641</v>
      </c>
      <c r="AG26" s="3">
        <f t="shared" si="2"/>
        <v>31070</v>
      </c>
    </row>
    <row r="27" spans="1:33" x14ac:dyDescent="0.35">
      <c r="A27" s="9">
        <v>24</v>
      </c>
      <c r="B27" s="11" t="s">
        <v>34</v>
      </c>
      <c r="C27" s="2">
        <v>38</v>
      </c>
      <c r="D27" s="2">
        <v>30</v>
      </c>
      <c r="E27" s="2">
        <v>29</v>
      </c>
      <c r="F27" s="2">
        <v>52</v>
      </c>
      <c r="G27" s="2">
        <v>23</v>
      </c>
      <c r="H27" s="2">
        <v>52</v>
      </c>
      <c r="I27" s="2">
        <v>27</v>
      </c>
      <c r="J27" s="3">
        <f t="shared" si="1"/>
        <v>251</v>
      </c>
      <c r="N27" s="5">
        <v>65</v>
      </c>
      <c r="O27" s="2">
        <v>74</v>
      </c>
      <c r="P27" s="2">
        <v>73</v>
      </c>
      <c r="Q27" s="2">
        <v>89</v>
      </c>
      <c r="R27" s="2">
        <v>45</v>
      </c>
      <c r="S27" s="2">
        <v>65</v>
      </c>
      <c r="T27" s="2">
        <v>45</v>
      </c>
      <c r="U27" s="2">
        <v>39</v>
      </c>
      <c r="V27" s="3">
        <f t="shared" si="0"/>
        <v>430</v>
      </c>
      <c r="Y27" s="1">
        <v>65</v>
      </c>
      <c r="Z27" s="3">
        <f t="shared" si="3"/>
        <v>4304</v>
      </c>
      <c r="AA27" s="3">
        <f t="shared" si="4"/>
        <v>4401</v>
      </c>
      <c r="AB27" s="3">
        <f t="shared" si="5"/>
        <v>4490</v>
      </c>
      <c r="AC27" s="3">
        <f t="shared" si="6"/>
        <v>4535</v>
      </c>
      <c r="AD27" s="3">
        <f t="shared" si="7"/>
        <v>4600</v>
      </c>
      <c r="AE27" s="3">
        <f t="shared" si="8"/>
        <v>4645</v>
      </c>
      <c r="AF27" s="3">
        <f t="shared" si="9"/>
        <v>4684</v>
      </c>
      <c r="AG27" s="3">
        <f t="shared" si="2"/>
        <v>31659</v>
      </c>
    </row>
    <row r="28" spans="1:33" x14ac:dyDescent="0.35">
      <c r="A28" s="9">
        <v>25</v>
      </c>
      <c r="B28" s="11" t="s">
        <v>35</v>
      </c>
      <c r="C28" s="2">
        <v>28</v>
      </c>
      <c r="D28" s="2">
        <v>24</v>
      </c>
      <c r="E28" s="2">
        <v>29</v>
      </c>
      <c r="F28" s="2">
        <v>30</v>
      </c>
      <c r="G28" s="2">
        <v>18</v>
      </c>
      <c r="H28" s="2">
        <v>30</v>
      </c>
      <c r="I28" s="2">
        <v>19</v>
      </c>
      <c r="J28" s="3">
        <f t="shared" si="1"/>
        <v>178</v>
      </c>
      <c r="N28" s="5">
        <v>60</v>
      </c>
      <c r="O28" s="2">
        <v>104</v>
      </c>
      <c r="P28" s="2">
        <v>70</v>
      </c>
      <c r="Q28" s="2">
        <v>76</v>
      </c>
      <c r="R28" s="2">
        <v>56</v>
      </c>
      <c r="S28" s="2">
        <v>29</v>
      </c>
      <c r="T28" s="2">
        <v>56</v>
      </c>
      <c r="U28" s="2">
        <v>30</v>
      </c>
      <c r="V28" s="3">
        <f t="shared" si="0"/>
        <v>421</v>
      </c>
      <c r="Y28" s="1">
        <v>60</v>
      </c>
      <c r="Z28" s="3">
        <f t="shared" si="3"/>
        <v>4408</v>
      </c>
      <c r="AA28" s="3">
        <f t="shared" si="4"/>
        <v>4478</v>
      </c>
      <c r="AB28" s="3">
        <f t="shared" si="5"/>
        <v>4566</v>
      </c>
      <c r="AC28" s="3">
        <f t="shared" si="6"/>
        <v>4622</v>
      </c>
      <c r="AD28" s="3">
        <f t="shared" si="7"/>
        <v>4651</v>
      </c>
      <c r="AE28" s="3">
        <f t="shared" si="8"/>
        <v>4707</v>
      </c>
      <c r="AF28" s="3">
        <f t="shared" si="9"/>
        <v>4737</v>
      </c>
      <c r="AG28" s="3">
        <f t="shared" si="2"/>
        <v>32169</v>
      </c>
    </row>
    <row r="29" spans="1:33" x14ac:dyDescent="0.35">
      <c r="A29" s="9">
        <v>26</v>
      </c>
      <c r="B29" s="11" t="s">
        <v>36</v>
      </c>
      <c r="C29" s="2">
        <v>16</v>
      </c>
      <c r="D29" s="2">
        <v>14</v>
      </c>
      <c r="E29" s="2">
        <v>15</v>
      </c>
      <c r="F29" s="2">
        <v>29</v>
      </c>
      <c r="G29" s="2">
        <v>16</v>
      </c>
      <c r="H29" s="2">
        <v>29</v>
      </c>
      <c r="I29" s="2">
        <v>23</v>
      </c>
      <c r="J29" s="3">
        <f t="shared" si="1"/>
        <v>142</v>
      </c>
      <c r="N29" s="5">
        <v>58</v>
      </c>
      <c r="O29" s="2">
        <v>112</v>
      </c>
      <c r="P29" s="2">
        <v>51</v>
      </c>
      <c r="Q29" s="2">
        <v>29</v>
      </c>
      <c r="R29" s="2">
        <v>92</v>
      </c>
      <c r="S29" s="2">
        <v>23</v>
      </c>
      <c r="T29" s="2">
        <v>92</v>
      </c>
      <c r="U29" s="2">
        <v>17</v>
      </c>
      <c r="V29" s="3">
        <f t="shared" si="0"/>
        <v>416</v>
      </c>
      <c r="Y29" s="1">
        <v>58</v>
      </c>
      <c r="Z29" s="3">
        <f t="shared" si="3"/>
        <v>4520</v>
      </c>
      <c r="AA29" s="3">
        <f t="shared" si="4"/>
        <v>4571</v>
      </c>
      <c r="AB29" s="3">
        <f t="shared" si="5"/>
        <v>4600</v>
      </c>
      <c r="AC29" s="3">
        <f t="shared" si="6"/>
        <v>4714</v>
      </c>
      <c r="AD29" s="3">
        <f t="shared" si="7"/>
        <v>4737</v>
      </c>
      <c r="AE29" s="3">
        <f t="shared" si="8"/>
        <v>4829</v>
      </c>
      <c r="AF29" s="3">
        <f t="shared" si="9"/>
        <v>4846</v>
      </c>
      <c r="AG29" s="3">
        <f t="shared" si="2"/>
        <v>32817</v>
      </c>
    </row>
    <row r="30" spans="1:33" x14ac:dyDescent="0.35">
      <c r="A30" s="9">
        <v>27</v>
      </c>
      <c r="B30" s="11" t="s">
        <v>37</v>
      </c>
      <c r="C30" s="2">
        <v>18</v>
      </c>
      <c r="D30" s="2">
        <v>13</v>
      </c>
      <c r="E30" s="2">
        <v>17</v>
      </c>
      <c r="F30" s="2">
        <v>34</v>
      </c>
      <c r="G30" s="2">
        <v>12</v>
      </c>
      <c r="H30" s="2">
        <v>34</v>
      </c>
      <c r="I30" s="2">
        <v>20</v>
      </c>
      <c r="J30" s="3">
        <f t="shared" si="1"/>
        <v>148</v>
      </c>
      <c r="N30" s="5">
        <v>64</v>
      </c>
      <c r="O30" s="2">
        <v>83</v>
      </c>
      <c r="P30" s="2">
        <v>60</v>
      </c>
      <c r="Q30" s="2">
        <v>74</v>
      </c>
      <c r="R30" s="2">
        <v>63</v>
      </c>
      <c r="S30" s="2">
        <v>12</v>
      </c>
      <c r="T30" s="2">
        <v>63</v>
      </c>
      <c r="U30" s="2">
        <v>38</v>
      </c>
      <c r="V30" s="3">
        <f t="shared" si="0"/>
        <v>393</v>
      </c>
      <c r="Y30" s="1">
        <v>64</v>
      </c>
      <c r="Z30" s="3">
        <f t="shared" si="3"/>
        <v>4603</v>
      </c>
      <c r="AA30" s="3">
        <f t="shared" si="4"/>
        <v>4663</v>
      </c>
      <c r="AB30" s="3">
        <f t="shared" si="5"/>
        <v>4737</v>
      </c>
      <c r="AC30" s="3">
        <f t="shared" si="6"/>
        <v>4800</v>
      </c>
      <c r="AD30" s="3">
        <f t="shared" si="7"/>
        <v>4812</v>
      </c>
      <c r="AE30" s="3">
        <f t="shared" si="8"/>
        <v>4892</v>
      </c>
      <c r="AF30" s="3">
        <f t="shared" si="9"/>
        <v>4930</v>
      </c>
      <c r="AG30" s="3">
        <f t="shared" si="2"/>
        <v>33437</v>
      </c>
    </row>
    <row r="31" spans="1:33" x14ac:dyDescent="0.35">
      <c r="A31" s="9">
        <v>28</v>
      </c>
      <c r="B31" s="11" t="s">
        <v>38</v>
      </c>
      <c r="C31" s="2">
        <v>29</v>
      </c>
      <c r="D31" s="2">
        <v>12</v>
      </c>
      <c r="E31" s="2">
        <v>13</v>
      </c>
      <c r="F31" s="2">
        <v>22</v>
      </c>
      <c r="G31" s="2">
        <v>12</v>
      </c>
      <c r="H31" s="2">
        <v>22</v>
      </c>
      <c r="I31" s="2">
        <v>9</v>
      </c>
      <c r="J31" s="3">
        <f t="shared" si="1"/>
        <v>119</v>
      </c>
      <c r="N31" s="5">
        <v>36</v>
      </c>
      <c r="O31" s="2">
        <v>115</v>
      </c>
      <c r="P31" s="2">
        <v>54</v>
      </c>
      <c r="Q31" s="2">
        <v>34</v>
      </c>
      <c r="R31" s="2">
        <v>63</v>
      </c>
      <c r="S31" s="2">
        <v>18</v>
      </c>
      <c r="T31" s="2">
        <v>63</v>
      </c>
      <c r="U31" s="2">
        <v>41</v>
      </c>
      <c r="V31" s="3">
        <f t="shared" si="0"/>
        <v>388</v>
      </c>
      <c r="Y31" s="1">
        <v>36</v>
      </c>
      <c r="Z31" s="3">
        <f t="shared" si="3"/>
        <v>4718</v>
      </c>
      <c r="AA31" s="3">
        <f t="shared" si="4"/>
        <v>4772</v>
      </c>
      <c r="AB31" s="3">
        <f t="shared" si="5"/>
        <v>4806</v>
      </c>
      <c r="AC31" s="3">
        <f t="shared" si="6"/>
        <v>4869</v>
      </c>
      <c r="AD31" s="3">
        <f t="shared" si="7"/>
        <v>4887</v>
      </c>
      <c r="AE31" s="3">
        <f t="shared" si="8"/>
        <v>4955</v>
      </c>
      <c r="AF31" s="3">
        <f t="shared" si="9"/>
        <v>4996</v>
      </c>
      <c r="AG31" s="3">
        <f t="shared" si="2"/>
        <v>34003</v>
      </c>
    </row>
    <row r="32" spans="1:33" x14ac:dyDescent="0.35">
      <c r="A32" s="9">
        <v>29</v>
      </c>
      <c r="B32" s="11" t="s">
        <v>39</v>
      </c>
      <c r="C32" s="2">
        <v>125</v>
      </c>
      <c r="D32" s="2">
        <v>146</v>
      </c>
      <c r="E32" s="2">
        <v>125</v>
      </c>
      <c r="F32" s="2">
        <v>52</v>
      </c>
      <c r="G32" s="2">
        <v>35</v>
      </c>
      <c r="H32" s="2">
        <v>52</v>
      </c>
      <c r="I32" s="2">
        <v>95</v>
      </c>
      <c r="J32" s="3">
        <f t="shared" si="1"/>
        <v>630</v>
      </c>
      <c r="N32" s="5">
        <v>55</v>
      </c>
      <c r="O32" s="2">
        <v>60</v>
      </c>
      <c r="P32" s="2">
        <v>43</v>
      </c>
      <c r="Q32" s="2">
        <v>47</v>
      </c>
      <c r="R32" s="2">
        <v>79</v>
      </c>
      <c r="S32" s="2">
        <v>35</v>
      </c>
      <c r="T32" s="2">
        <v>79</v>
      </c>
      <c r="U32" s="2">
        <v>30</v>
      </c>
      <c r="V32" s="3">
        <f t="shared" si="0"/>
        <v>373</v>
      </c>
      <c r="Y32" s="1">
        <v>55</v>
      </c>
      <c r="Z32" s="3">
        <f t="shared" si="3"/>
        <v>4778</v>
      </c>
      <c r="AA32" s="3">
        <f t="shared" si="4"/>
        <v>4821</v>
      </c>
      <c r="AB32" s="3">
        <f t="shared" si="5"/>
        <v>4868</v>
      </c>
      <c r="AC32" s="3">
        <f t="shared" si="6"/>
        <v>4948</v>
      </c>
      <c r="AD32" s="3">
        <f t="shared" si="7"/>
        <v>4983</v>
      </c>
      <c r="AE32" s="3">
        <f t="shared" si="8"/>
        <v>5062</v>
      </c>
      <c r="AF32" s="3">
        <f t="shared" si="9"/>
        <v>5092</v>
      </c>
      <c r="AG32" s="3">
        <f t="shared" si="2"/>
        <v>34552</v>
      </c>
    </row>
    <row r="33" spans="1:33" x14ac:dyDescent="0.35">
      <c r="A33" s="9">
        <v>30</v>
      </c>
      <c r="B33" s="11" t="s">
        <v>40</v>
      </c>
      <c r="C33" s="2">
        <v>47</v>
      </c>
      <c r="D33" s="2">
        <v>33</v>
      </c>
      <c r="E33" s="2">
        <v>16</v>
      </c>
      <c r="F33" s="2">
        <v>24</v>
      </c>
      <c r="G33" s="2">
        <v>24</v>
      </c>
      <c r="H33" s="2">
        <v>24</v>
      </c>
      <c r="I33" s="2">
        <v>25</v>
      </c>
      <c r="J33" s="3">
        <f t="shared" si="1"/>
        <v>193</v>
      </c>
      <c r="N33" s="5">
        <v>48</v>
      </c>
      <c r="O33" s="2">
        <v>59</v>
      </c>
      <c r="P33" s="2">
        <v>57</v>
      </c>
      <c r="Q33" s="2">
        <v>70</v>
      </c>
      <c r="R33" s="2">
        <v>45</v>
      </c>
      <c r="S33" s="2">
        <v>50</v>
      </c>
      <c r="T33" s="2">
        <v>45</v>
      </c>
      <c r="U33" s="2">
        <v>33</v>
      </c>
      <c r="V33" s="3">
        <f t="shared" si="0"/>
        <v>359</v>
      </c>
      <c r="Y33" s="1">
        <v>48</v>
      </c>
      <c r="Z33" s="3">
        <f t="shared" si="3"/>
        <v>4837</v>
      </c>
      <c r="AA33" s="3">
        <f t="shared" si="4"/>
        <v>4894</v>
      </c>
      <c r="AB33" s="3">
        <f t="shared" si="5"/>
        <v>4964</v>
      </c>
      <c r="AC33" s="3">
        <f t="shared" si="6"/>
        <v>5009</v>
      </c>
      <c r="AD33" s="3">
        <f t="shared" si="7"/>
        <v>5059</v>
      </c>
      <c r="AE33" s="3">
        <f t="shared" si="8"/>
        <v>5107</v>
      </c>
      <c r="AF33" s="3">
        <f t="shared" si="9"/>
        <v>5140</v>
      </c>
      <c r="AG33" s="3">
        <f t="shared" si="2"/>
        <v>35010</v>
      </c>
    </row>
    <row r="34" spans="1:33" x14ac:dyDescent="0.35">
      <c r="A34" s="9">
        <v>31</v>
      </c>
      <c r="B34" s="11" t="s">
        <v>41</v>
      </c>
      <c r="C34" s="2">
        <v>252</v>
      </c>
      <c r="D34" s="2">
        <v>235</v>
      </c>
      <c r="E34" s="2">
        <v>184</v>
      </c>
      <c r="F34" s="2">
        <v>61</v>
      </c>
      <c r="G34" s="2">
        <v>201</v>
      </c>
      <c r="H34" s="2">
        <v>61</v>
      </c>
      <c r="I34" s="2">
        <v>131</v>
      </c>
      <c r="J34" s="3">
        <f t="shared" si="1"/>
        <v>1125</v>
      </c>
      <c r="N34" s="5">
        <v>38</v>
      </c>
      <c r="O34" s="2">
        <v>64</v>
      </c>
      <c r="P34" s="2">
        <v>48</v>
      </c>
      <c r="Q34" s="2">
        <v>47</v>
      </c>
      <c r="R34" s="2">
        <v>50</v>
      </c>
      <c r="S34" s="2">
        <v>31</v>
      </c>
      <c r="T34" s="2">
        <v>50</v>
      </c>
      <c r="U34" s="2">
        <v>53</v>
      </c>
      <c r="V34" s="3">
        <f t="shared" si="0"/>
        <v>343</v>
      </c>
      <c r="Y34" s="1">
        <v>38</v>
      </c>
      <c r="Z34" s="3">
        <f t="shared" si="3"/>
        <v>4901</v>
      </c>
      <c r="AA34" s="3">
        <f t="shared" si="4"/>
        <v>4949</v>
      </c>
      <c r="AB34" s="3">
        <f t="shared" si="5"/>
        <v>5011</v>
      </c>
      <c r="AC34" s="3">
        <f t="shared" si="6"/>
        <v>5061</v>
      </c>
      <c r="AD34" s="3">
        <f t="shared" si="7"/>
        <v>5092</v>
      </c>
      <c r="AE34" s="3">
        <f t="shared" si="8"/>
        <v>5157</v>
      </c>
      <c r="AF34" s="3">
        <f t="shared" si="9"/>
        <v>5210</v>
      </c>
      <c r="AG34" s="3">
        <f t="shared" si="2"/>
        <v>35381</v>
      </c>
    </row>
    <row r="35" spans="1:33" x14ac:dyDescent="0.35">
      <c r="A35" s="9">
        <v>32</v>
      </c>
      <c r="B35" s="11" t="s">
        <v>42</v>
      </c>
      <c r="C35" s="2">
        <v>44</v>
      </c>
      <c r="D35" s="2">
        <v>30</v>
      </c>
      <c r="E35" s="2">
        <v>36</v>
      </c>
      <c r="F35" s="2">
        <v>31</v>
      </c>
      <c r="G35" s="2">
        <v>15</v>
      </c>
      <c r="H35" s="2">
        <v>31</v>
      </c>
      <c r="I35" s="2">
        <v>15</v>
      </c>
      <c r="J35" s="3">
        <f t="shared" si="1"/>
        <v>202</v>
      </c>
      <c r="N35" s="5">
        <v>8</v>
      </c>
      <c r="O35" s="2">
        <v>85</v>
      </c>
      <c r="P35" s="2">
        <v>61</v>
      </c>
      <c r="Q35" s="2">
        <v>49</v>
      </c>
      <c r="R35" s="2">
        <v>28</v>
      </c>
      <c r="S35" s="2">
        <v>17</v>
      </c>
      <c r="T35" s="2">
        <v>28</v>
      </c>
      <c r="U35" s="2">
        <v>73</v>
      </c>
      <c r="V35" s="3">
        <f t="shared" si="0"/>
        <v>341</v>
      </c>
      <c r="Y35" s="1">
        <v>8</v>
      </c>
      <c r="Z35" s="3">
        <f t="shared" si="3"/>
        <v>4986</v>
      </c>
      <c r="AA35" s="3">
        <f t="shared" si="4"/>
        <v>5047</v>
      </c>
      <c r="AB35" s="3">
        <f t="shared" si="5"/>
        <v>5096</v>
      </c>
      <c r="AC35" s="3">
        <f t="shared" si="6"/>
        <v>5124</v>
      </c>
      <c r="AD35" s="3">
        <f t="shared" si="7"/>
        <v>5141</v>
      </c>
      <c r="AE35" s="3">
        <f t="shared" si="8"/>
        <v>5185</v>
      </c>
      <c r="AF35" s="3">
        <f t="shared" si="9"/>
        <v>5283</v>
      </c>
      <c r="AG35" s="3">
        <f t="shared" si="2"/>
        <v>35862</v>
      </c>
    </row>
    <row r="36" spans="1:33" x14ac:dyDescent="0.35">
      <c r="A36" s="9">
        <v>33</v>
      </c>
      <c r="B36" s="11" t="s">
        <v>43</v>
      </c>
      <c r="C36" s="2">
        <v>217</v>
      </c>
      <c r="D36" s="2">
        <v>132</v>
      </c>
      <c r="E36" s="2">
        <v>167</v>
      </c>
      <c r="F36" s="2">
        <v>46</v>
      </c>
      <c r="G36" s="2">
        <v>35</v>
      </c>
      <c r="H36" s="2">
        <v>46</v>
      </c>
      <c r="I36" s="2">
        <v>53</v>
      </c>
      <c r="J36" s="3">
        <f t="shared" si="1"/>
        <v>696</v>
      </c>
      <c r="N36" s="5">
        <v>20</v>
      </c>
      <c r="O36" s="2">
        <v>90</v>
      </c>
      <c r="P36" s="2">
        <v>65</v>
      </c>
      <c r="Q36" s="2">
        <v>18</v>
      </c>
      <c r="R36" s="2">
        <v>27</v>
      </c>
      <c r="S36" s="2">
        <v>44</v>
      </c>
      <c r="T36" s="2">
        <v>27</v>
      </c>
      <c r="U36" s="2">
        <v>64</v>
      </c>
      <c r="V36" s="3">
        <f t="shared" ref="V36:V67" si="10">SUM(O36:U36)</f>
        <v>335</v>
      </c>
      <c r="Y36" s="1">
        <v>20</v>
      </c>
      <c r="Z36" s="3">
        <f t="shared" si="3"/>
        <v>5076</v>
      </c>
      <c r="AA36" s="3">
        <f t="shared" si="4"/>
        <v>5141</v>
      </c>
      <c r="AB36" s="3">
        <f t="shared" si="5"/>
        <v>5159</v>
      </c>
      <c r="AC36" s="3">
        <f t="shared" si="6"/>
        <v>5186</v>
      </c>
      <c r="AD36" s="3">
        <f t="shared" si="7"/>
        <v>5230</v>
      </c>
      <c r="AE36" s="3">
        <f t="shared" si="8"/>
        <v>5257</v>
      </c>
      <c r="AF36" s="3">
        <f t="shared" si="9"/>
        <v>5347</v>
      </c>
      <c r="AG36" s="3">
        <f t="shared" si="2"/>
        <v>36396</v>
      </c>
    </row>
    <row r="37" spans="1:33" x14ac:dyDescent="0.35">
      <c r="A37" s="9">
        <v>34</v>
      </c>
      <c r="B37" s="11" t="s">
        <v>44</v>
      </c>
      <c r="C37" s="2">
        <v>37</v>
      </c>
      <c r="D37" s="2">
        <v>27</v>
      </c>
      <c r="E37" s="2">
        <v>12</v>
      </c>
      <c r="F37" s="2">
        <v>24</v>
      </c>
      <c r="G37" s="2">
        <v>14</v>
      </c>
      <c r="H37" s="2">
        <v>24</v>
      </c>
      <c r="I37" s="2">
        <v>32</v>
      </c>
      <c r="J37" s="3">
        <f t="shared" si="1"/>
        <v>170</v>
      </c>
      <c r="N37" s="5">
        <v>67</v>
      </c>
      <c r="O37" s="2">
        <v>93</v>
      </c>
      <c r="P37" s="2">
        <v>68</v>
      </c>
      <c r="Q37" s="2">
        <v>35</v>
      </c>
      <c r="R37" s="2">
        <v>33</v>
      </c>
      <c r="S37" s="2">
        <v>30</v>
      </c>
      <c r="T37" s="2">
        <v>33</v>
      </c>
      <c r="U37" s="2">
        <v>35</v>
      </c>
      <c r="V37" s="3">
        <f t="shared" si="10"/>
        <v>327</v>
      </c>
      <c r="Y37" s="1">
        <v>67</v>
      </c>
      <c r="Z37" s="3">
        <f t="shared" si="3"/>
        <v>5169</v>
      </c>
      <c r="AA37" s="3">
        <f t="shared" si="4"/>
        <v>5237</v>
      </c>
      <c r="AB37" s="3">
        <f t="shared" si="5"/>
        <v>5272</v>
      </c>
      <c r="AC37" s="3">
        <f t="shared" si="6"/>
        <v>5305</v>
      </c>
      <c r="AD37" s="3">
        <f t="shared" si="7"/>
        <v>5335</v>
      </c>
      <c r="AE37" s="3">
        <f t="shared" si="8"/>
        <v>5368</v>
      </c>
      <c r="AF37" s="3">
        <f t="shared" si="9"/>
        <v>5403</v>
      </c>
      <c r="AG37" s="3">
        <f t="shared" si="2"/>
        <v>37089</v>
      </c>
    </row>
    <row r="38" spans="1:33" x14ac:dyDescent="0.35">
      <c r="A38" s="9">
        <v>35</v>
      </c>
      <c r="B38" s="11" t="s">
        <v>45</v>
      </c>
      <c r="C38" s="2">
        <v>27</v>
      </c>
      <c r="D38" s="2">
        <v>19</v>
      </c>
      <c r="E38" s="2">
        <v>15</v>
      </c>
      <c r="F38" s="2">
        <v>23</v>
      </c>
      <c r="G38" s="2">
        <v>21</v>
      </c>
      <c r="H38" s="2">
        <v>23</v>
      </c>
      <c r="I38" s="2">
        <v>27</v>
      </c>
      <c r="J38" s="3">
        <f t="shared" si="1"/>
        <v>155</v>
      </c>
      <c r="N38" s="5">
        <v>2</v>
      </c>
      <c r="O38" s="2">
        <v>98</v>
      </c>
      <c r="P38" s="2">
        <v>47</v>
      </c>
      <c r="Q38" s="2">
        <v>31</v>
      </c>
      <c r="R38" s="2">
        <v>46</v>
      </c>
      <c r="S38" s="2">
        <v>16</v>
      </c>
      <c r="T38" s="2">
        <v>46</v>
      </c>
      <c r="U38" s="2">
        <v>36</v>
      </c>
      <c r="V38" s="3">
        <f t="shared" si="10"/>
        <v>320</v>
      </c>
      <c r="Y38" s="1">
        <v>2</v>
      </c>
      <c r="Z38" s="3">
        <f t="shared" si="3"/>
        <v>5267</v>
      </c>
      <c r="AA38" s="3">
        <f t="shared" si="4"/>
        <v>5314</v>
      </c>
      <c r="AB38" s="3">
        <f t="shared" si="5"/>
        <v>5345</v>
      </c>
      <c r="AC38" s="3">
        <f t="shared" si="6"/>
        <v>5391</v>
      </c>
      <c r="AD38" s="3">
        <f t="shared" si="7"/>
        <v>5407</v>
      </c>
      <c r="AE38" s="3">
        <f t="shared" si="8"/>
        <v>5453</v>
      </c>
      <c r="AF38" s="3">
        <f t="shared" si="9"/>
        <v>5489</v>
      </c>
      <c r="AG38" s="3">
        <f t="shared" si="2"/>
        <v>37666</v>
      </c>
    </row>
    <row r="39" spans="1:33" x14ac:dyDescent="0.35">
      <c r="A39" s="9">
        <v>36</v>
      </c>
      <c r="B39" s="11" t="s">
        <v>8</v>
      </c>
      <c r="C39" s="2">
        <v>115</v>
      </c>
      <c r="D39" s="2">
        <v>54</v>
      </c>
      <c r="E39" s="2">
        <v>34</v>
      </c>
      <c r="F39" s="2">
        <v>63</v>
      </c>
      <c r="G39" s="2">
        <v>18</v>
      </c>
      <c r="H39" s="2">
        <v>63</v>
      </c>
      <c r="I39" s="2">
        <v>41</v>
      </c>
      <c r="J39" s="3">
        <f t="shared" si="1"/>
        <v>388</v>
      </c>
      <c r="N39" s="5">
        <v>51</v>
      </c>
      <c r="O39" s="2">
        <v>67</v>
      </c>
      <c r="P39" s="2">
        <v>68</v>
      </c>
      <c r="Q39" s="2">
        <v>43</v>
      </c>
      <c r="R39" s="2">
        <v>31</v>
      </c>
      <c r="S39" s="2">
        <v>41</v>
      </c>
      <c r="T39" s="2">
        <v>31</v>
      </c>
      <c r="U39" s="2">
        <v>34</v>
      </c>
      <c r="V39" s="3">
        <f t="shared" si="10"/>
        <v>315</v>
      </c>
      <c r="Y39" s="1">
        <v>51</v>
      </c>
      <c r="Z39" s="3">
        <f t="shared" si="3"/>
        <v>5334</v>
      </c>
      <c r="AA39" s="3">
        <f t="shared" si="4"/>
        <v>5402</v>
      </c>
      <c r="AB39" s="3">
        <f t="shared" si="5"/>
        <v>5445</v>
      </c>
      <c r="AC39" s="3">
        <f t="shared" si="6"/>
        <v>5476</v>
      </c>
      <c r="AD39" s="3">
        <f t="shared" si="7"/>
        <v>5517</v>
      </c>
      <c r="AE39" s="3">
        <f t="shared" si="8"/>
        <v>5548</v>
      </c>
      <c r="AF39" s="3">
        <f t="shared" si="9"/>
        <v>5582</v>
      </c>
      <c r="AG39" s="3">
        <f t="shared" si="2"/>
        <v>38304</v>
      </c>
    </row>
    <row r="40" spans="1:33" x14ac:dyDescent="0.35">
      <c r="A40" s="9">
        <v>37</v>
      </c>
      <c r="B40" s="11" t="s">
        <v>46</v>
      </c>
      <c r="C40" s="2">
        <v>162</v>
      </c>
      <c r="D40" s="2">
        <v>72</v>
      </c>
      <c r="E40" s="2">
        <v>58</v>
      </c>
      <c r="F40" s="2">
        <v>34</v>
      </c>
      <c r="G40" s="2">
        <v>54</v>
      </c>
      <c r="H40" s="2">
        <v>34</v>
      </c>
      <c r="I40" s="2">
        <v>115</v>
      </c>
      <c r="J40" s="3">
        <f t="shared" si="1"/>
        <v>529</v>
      </c>
      <c r="N40" s="5">
        <v>52</v>
      </c>
      <c r="O40" s="2">
        <v>94</v>
      </c>
      <c r="P40" s="2">
        <v>45</v>
      </c>
      <c r="Q40" s="2">
        <v>30</v>
      </c>
      <c r="R40" s="2">
        <v>46</v>
      </c>
      <c r="S40" s="2">
        <v>15</v>
      </c>
      <c r="T40" s="2">
        <v>46</v>
      </c>
      <c r="U40" s="2">
        <v>35</v>
      </c>
      <c r="V40" s="3">
        <f t="shared" si="10"/>
        <v>311</v>
      </c>
      <c r="Y40" s="1">
        <v>52</v>
      </c>
      <c r="Z40" s="3">
        <f t="shared" si="3"/>
        <v>5428</v>
      </c>
      <c r="AA40" s="3">
        <f t="shared" si="4"/>
        <v>5473</v>
      </c>
      <c r="AB40" s="3">
        <f t="shared" si="5"/>
        <v>5503</v>
      </c>
      <c r="AC40" s="3">
        <f t="shared" si="6"/>
        <v>5549</v>
      </c>
      <c r="AD40" s="3">
        <f t="shared" si="7"/>
        <v>5564</v>
      </c>
      <c r="AE40" s="3">
        <f t="shared" si="8"/>
        <v>5610</v>
      </c>
      <c r="AF40" s="3">
        <f t="shared" si="9"/>
        <v>5645</v>
      </c>
      <c r="AG40" s="3">
        <f t="shared" si="2"/>
        <v>38772</v>
      </c>
    </row>
    <row r="41" spans="1:33" x14ac:dyDescent="0.35">
      <c r="A41" s="9">
        <v>38</v>
      </c>
      <c r="B41" s="11" t="s">
        <v>47</v>
      </c>
      <c r="C41" s="2">
        <v>64</v>
      </c>
      <c r="D41" s="2">
        <v>48</v>
      </c>
      <c r="E41" s="2">
        <v>47</v>
      </c>
      <c r="F41" s="2">
        <v>50</v>
      </c>
      <c r="G41" s="2">
        <v>31</v>
      </c>
      <c r="H41" s="2">
        <v>50</v>
      </c>
      <c r="I41" s="2">
        <v>53</v>
      </c>
      <c r="J41" s="3">
        <f t="shared" si="1"/>
        <v>343</v>
      </c>
      <c r="N41" s="5">
        <v>18</v>
      </c>
      <c r="O41" s="2">
        <v>56</v>
      </c>
      <c r="P41" s="2">
        <v>42</v>
      </c>
      <c r="Q41" s="2">
        <v>41</v>
      </c>
      <c r="R41" s="2">
        <v>39</v>
      </c>
      <c r="S41" s="2">
        <v>29</v>
      </c>
      <c r="T41" s="2">
        <v>39</v>
      </c>
      <c r="U41" s="2">
        <v>48</v>
      </c>
      <c r="V41" s="3">
        <f t="shared" si="10"/>
        <v>294</v>
      </c>
      <c r="Y41" s="1">
        <v>18</v>
      </c>
      <c r="Z41" s="3">
        <f t="shared" si="3"/>
        <v>5484</v>
      </c>
      <c r="AA41" s="3">
        <f t="shared" si="4"/>
        <v>5526</v>
      </c>
      <c r="AB41" s="3">
        <f t="shared" si="5"/>
        <v>5567</v>
      </c>
      <c r="AC41" s="3">
        <f t="shared" si="6"/>
        <v>5606</v>
      </c>
      <c r="AD41" s="3">
        <f t="shared" si="7"/>
        <v>5635</v>
      </c>
      <c r="AE41" s="3">
        <f t="shared" si="8"/>
        <v>5674</v>
      </c>
      <c r="AF41" s="3">
        <f t="shared" si="9"/>
        <v>5722</v>
      </c>
      <c r="AG41" s="3">
        <f t="shared" si="2"/>
        <v>39214</v>
      </c>
    </row>
    <row r="42" spans="1:33" x14ac:dyDescent="0.35">
      <c r="A42" s="9">
        <v>39</v>
      </c>
      <c r="B42" s="11" t="s">
        <v>48</v>
      </c>
      <c r="C42" s="2">
        <v>271</v>
      </c>
      <c r="D42" s="2">
        <v>457</v>
      </c>
      <c r="E42" s="2">
        <v>138</v>
      </c>
      <c r="F42" s="2">
        <v>27</v>
      </c>
      <c r="G42" s="2">
        <v>182</v>
      </c>
      <c r="H42" s="2">
        <v>27</v>
      </c>
      <c r="I42" s="2">
        <v>176</v>
      </c>
      <c r="J42" s="3">
        <f t="shared" si="1"/>
        <v>1278</v>
      </c>
      <c r="N42" s="5">
        <v>56</v>
      </c>
      <c r="O42" s="2">
        <v>50</v>
      </c>
      <c r="P42" s="2">
        <v>38</v>
      </c>
      <c r="Q42" s="2">
        <v>37</v>
      </c>
      <c r="R42" s="2">
        <v>52</v>
      </c>
      <c r="S42" s="2">
        <v>31</v>
      </c>
      <c r="T42" s="2">
        <v>52</v>
      </c>
      <c r="U42" s="2">
        <v>30</v>
      </c>
      <c r="V42" s="3">
        <f t="shared" si="10"/>
        <v>290</v>
      </c>
      <c r="Y42" s="1">
        <v>56</v>
      </c>
      <c r="Z42" s="3">
        <f t="shared" si="3"/>
        <v>5534</v>
      </c>
      <c r="AA42" s="3">
        <f t="shared" si="4"/>
        <v>5572</v>
      </c>
      <c r="AB42" s="3">
        <f t="shared" si="5"/>
        <v>5609</v>
      </c>
      <c r="AC42" s="3">
        <f t="shared" si="6"/>
        <v>5661</v>
      </c>
      <c r="AD42" s="3">
        <f t="shared" si="7"/>
        <v>5692</v>
      </c>
      <c r="AE42" s="3">
        <f t="shared" si="8"/>
        <v>5744</v>
      </c>
      <c r="AF42" s="3">
        <f t="shared" si="9"/>
        <v>5774</v>
      </c>
      <c r="AG42" s="3">
        <f t="shared" si="2"/>
        <v>39586</v>
      </c>
    </row>
    <row r="43" spans="1:33" x14ac:dyDescent="0.35">
      <c r="A43" s="9">
        <v>40</v>
      </c>
      <c r="B43" s="11" t="s">
        <v>49</v>
      </c>
      <c r="C43" s="2">
        <v>216</v>
      </c>
      <c r="D43" s="2">
        <v>205</v>
      </c>
      <c r="E43" s="2">
        <v>110</v>
      </c>
      <c r="F43" s="2">
        <v>57</v>
      </c>
      <c r="G43" s="2">
        <v>156</v>
      </c>
      <c r="H43" s="2">
        <v>57</v>
      </c>
      <c r="I43" s="2">
        <v>25</v>
      </c>
      <c r="J43" s="3">
        <f t="shared" si="1"/>
        <v>826</v>
      </c>
      <c r="N43" s="5">
        <v>4</v>
      </c>
      <c r="O43" s="2">
        <v>51</v>
      </c>
      <c r="P43" s="2">
        <v>39</v>
      </c>
      <c r="Q43" s="2">
        <v>37</v>
      </c>
      <c r="R43" s="2">
        <v>39</v>
      </c>
      <c r="S43" s="2">
        <v>27</v>
      </c>
      <c r="T43" s="2">
        <v>39</v>
      </c>
      <c r="U43" s="2">
        <v>44</v>
      </c>
      <c r="V43" s="3">
        <f t="shared" si="10"/>
        <v>276</v>
      </c>
      <c r="Y43" s="1">
        <v>4</v>
      </c>
      <c r="Z43" s="3">
        <f t="shared" si="3"/>
        <v>5585</v>
      </c>
      <c r="AA43" s="3">
        <f t="shared" si="4"/>
        <v>5624</v>
      </c>
      <c r="AB43" s="3">
        <f t="shared" si="5"/>
        <v>5661</v>
      </c>
      <c r="AC43" s="3">
        <f t="shared" si="6"/>
        <v>5700</v>
      </c>
      <c r="AD43" s="3">
        <f t="shared" si="7"/>
        <v>5727</v>
      </c>
      <c r="AE43" s="3">
        <f t="shared" si="8"/>
        <v>5783</v>
      </c>
      <c r="AF43" s="3">
        <f t="shared" si="9"/>
        <v>5827</v>
      </c>
      <c r="AG43" s="3">
        <f t="shared" si="2"/>
        <v>39907</v>
      </c>
    </row>
    <row r="44" spans="1:33" x14ac:dyDescent="0.35">
      <c r="A44" s="9">
        <v>41</v>
      </c>
      <c r="B44" s="11" t="s">
        <v>50</v>
      </c>
      <c r="C44" s="2">
        <v>73</v>
      </c>
      <c r="D44" s="2">
        <v>51</v>
      </c>
      <c r="E44" s="2">
        <v>55</v>
      </c>
      <c r="F44" s="2">
        <v>92</v>
      </c>
      <c r="G44" s="2">
        <v>42</v>
      </c>
      <c r="H44" s="2">
        <v>92</v>
      </c>
      <c r="I44" s="2">
        <v>33</v>
      </c>
      <c r="J44" s="3">
        <f t="shared" si="1"/>
        <v>438</v>
      </c>
      <c r="N44" s="5">
        <v>44</v>
      </c>
      <c r="O44" s="2">
        <v>73</v>
      </c>
      <c r="P44" s="2">
        <v>33</v>
      </c>
      <c r="Q44" s="2">
        <v>21</v>
      </c>
      <c r="R44" s="2">
        <v>57</v>
      </c>
      <c r="S44" s="2">
        <v>18</v>
      </c>
      <c r="T44" s="2">
        <v>57</v>
      </c>
      <c r="U44" s="2">
        <v>13</v>
      </c>
      <c r="V44" s="3">
        <f t="shared" si="10"/>
        <v>272</v>
      </c>
      <c r="Y44" s="1">
        <v>44</v>
      </c>
      <c r="Z44" s="3">
        <f t="shared" si="3"/>
        <v>5658</v>
      </c>
      <c r="AA44" s="3">
        <f t="shared" si="4"/>
        <v>5691</v>
      </c>
      <c r="AB44" s="3">
        <f t="shared" si="5"/>
        <v>5712</v>
      </c>
      <c r="AC44" s="3">
        <f t="shared" si="6"/>
        <v>5769</v>
      </c>
      <c r="AD44" s="3">
        <f t="shared" si="7"/>
        <v>5787</v>
      </c>
      <c r="AE44" s="3">
        <f t="shared" si="8"/>
        <v>5844</v>
      </c>
      <c r="AF44" s="3">
        <f t="shared" si="9"/>
        <v>5857</v>
      </c>
      <c r="AG44" s="3">
        <f t="shared" si="2"/>
        <v>40318</v>
      </c>
    </row>
    <row r="45" spans="1:33" x14ac:dyDescent="0.35">
      <c r="A45" s="9">
        <v>42</v>
      </c>
      <c r="B45" s="11" t="s">
        <v>51</v>
      </c>
      <c r="C45" s="2">
        <v>35</v>
      </c>
      <c r="D45" s="2">
        <v>28</v>
      </c>
      <c r="E45" s="2">
        <v>27</v>
      </c>
      <c r="F45" s="2">
        <v>36</v>
      </c>
      <c r="G45" s="2">
        <v>22</v>
      </c>
      <c r="H45" s="2">
        <v>36</v>
      </c>
      <c r="I45" s="2">
        <v>26</v>
      </c>
      <c r="J45" s="3">
        <f t="shared" si="1"/>
        <v>210</v>
      </c>
      <c r="N45" s="5">
        <v>12</v>
      </c>
      <c r="O45" s="2">
        <v>42</v>
      </c>
      <c r="P45" s="2">
        <v>31</v>
      </c>
      <c r="Q45" s="2">
        <v>35</v>
      </c>
      <c r="R45" s="2">
        <v>54</v>
      </c>
      <c r="S45" s="2">
        <v>24</v>
      </c>
      <c r="T45" s="2">
        <v>54</v>
      </c>
      <c r="U45" s="2">
        <v>25</v>
      </c>
      <c r="V45" s="3">
        <f t="shared" si="10"/>
        <v>265</v>
      </c>
      <c r="Y45" s="1">
        <v>12</v>
      </c>
      <c r="Z45" s="3">
        <f t="shared" si="3"/>
        <v>5700</v>
      </c>
      <c r="AA45" s="3">
        <f t="shared" si="4"/>
        <v>5731</v>
      </c>
      <c r="AB45" s="3">
        <f t="shared" si="5"/>
        <v>5766</v>
      </c>
      <c r="AC45" s="3">
        <f t="shared" si="6"/>
        <v>5823</v>
      </c>
      <c r="AD45" s="3">
        <f t="shared" si="7"/>
        <v>5847</v>
      </c>
      <c r="AE45" s="3">
        <f t="shared" si="8"/>
        <v>5901</v>
      </c>
      <c r="AF45" s="3">
        <f t="shared" si="9"/>
        <v>5926</v>
      </c>
      <c r="AG45" s="3">
        <f t="shared" si="2"/>
        <v>40694</v>
      </c>
    </row>
    <row r="46" spans="1:33" x14ac:dyDescent="0.35">
      <c r="A46" s="9">
        <v>43</v>
      </c>
      <c r="B46" s="11" t="s">
        <v>52</v>
      </c>
      <c r="C46" s="2">
        <v>20</v>
      </c>
      <c r="D46" s="2">
        <v>17</v>
      </c>
      <c r="E46" s="2">
        <v>16</v>
      </c>
      <c r="F46" s="2">
        <v>29</v>
      </c>
      <c r="G46" s="2">
        <v>19</v>
      </c>
      <c r="H46" s="2">
        <v>29</v>
      </c>
      <c r="I46" s="2">
        <v>25</v>
      </c>
      <c r="J46" s="3">
        <f t="shared" si="1"/>
        <v>155</v>
      </c>
      <c r="N46" s="5">
        <v>1</v>
      </c>
      <c r="O46" s="2">
        <v>52</v>
      </c>
      <c r="P46" s="2">
        <v>36</v>
      </c>
      <c r="Q46" s="2">
        <v>17</v>
      </c>
      <c r="R46" s="2">
        <v>38</v>
      </c>
      <c r="S46" s="2">
        <v>37</v>
      </c>
      <c r="T46" s="2">
        <v>38</v>
      </c>
      <c r="U46" s="2">
        <v>45</v>
      </c>
      <c r="V46" s="3">
        <f t="shared" si="10"/>
        <v>263</v>
      </c>
      <c r="Y46" s="1">
        <v>1</v>
      </c>
      <c r="Z46" s="3">
        <f t="shared" si="3"/>
        <v>5752</v>
      </c>
      <c r="AA46" s="3">
        <f t="shared" si="4"/>
        <v>5788</v>
      </c>
      <c r="AB46" s="3">
        <f t="shared" si="5"/>
        <v>5805</v>
      </c>
      <c r="AC46" s="3">
        <f t="shared" si="6"/>
        <v>5861</v>
      </c>
      <c r="AD46" s="3">
        <f t="shared" si="7"/>
        <v>5898</v>
      </c>
      <c r="AE46" s="3">
        <f t="shared" si="8"/>
        <v>5939</v>
      </c>
      <c r="AF46" s="3">
        <f t="shared" si="9"/>
        <v>5984</v>
      </c>
      <c r="AG46" s="3">
        <f t="shared" si="2"/>
        <v>41027</v>
      </c>
    </row>
    <row r="47" spans="1:33" x14ac:dyDescent="0.35">
      <c r="A47" s="9">
        <v>44</v>
      </c>
      <c r="B47" s="11" t="s">
        <v>53</v>
      </c>
      <c r="C47" s="2">
        <v>73</v>
      </c>
      <c r="D47" s="2">
        <v>33</v>
      </c>
      <c r="E47" s="2">
        <v>21</v>
      </c>
      <c r="F47" s="2">
        <v>57</v>
      </c>
      <c r="G47" s="2">
        <v>18</v>
      </c>
      <c r="H47" s="2">
        <v>57</v>
      </c>
      <c r="I47" s="2">
        <v>13</v>
      </c>
      <c r="J47" s="3">
        <f t="shared" si="1"/>
        <v>272</v>
      </c>
      <c r="N47" s="5">
        <v>13</v>
      </c>
      <c r="O47" s="2">
        <v>40</v>
      </c>
      <c r="P47" s="2">
        <v>31</v>
      </c>
      <c r="Q47" s="2">
        <v>30</v>
      </c>
      <c r="R47" s="2">
        <v>52</v>
      </c>
      <c r="S47" s="2">
        <v>24</v>
      </c>
      <c r="T47" s="2">
        <v>52</v>
      </c>
      <c r="U47" s="2">
        <v>27</v>
      </c>
      <c r="V47" s="3">
        <f t="shared" si="10"/>
        <v>256</v>
      </c>
      <c r="Y47" s="1">
        <v>13</v>
      </c>
      <c r="Z47" s="3">
        <f t="shared" si="3"/>
        <v>5792</v>
      </c>
      <c r="AA47" s="3">
        <f t="shared" si="4"/>
        <v>5823</v>
      </c>
      <c r="AB47" s="3">
        <f t="shared" si="5"/>
        <v>5853</v>
      </c>
      <c r="AC47" s="3">
        <f t="shared" si="6"/>
        <v>5913</v>
      </c>
      <c r="AD47" s="3">
        <f t="shared" si="7"/>
        <v>5937</v>
      </c>
      <c r="AE47" s="3">
        <f t="shared" si="8"/>
        <v>5991</v>
      </c>
      <c r="AF47" s="3">
        <f t="shared" si="9"/>
        <v>6018</v>
      </c>
      <c r="AG47" s="3">
        <f t="shared" si="2"/>
        <v>41327</v>
      </c>
    </row>
    <row r="48" spans="1:33" x14ac:dyDescent="0.35">
      <c r="A48" s="9">
        <v>45</v>
      </c>
      <c r="B48" s="11" t="s">
        <v>54</v>
      </c>
      <c r="C48" s="2">
        <v>124</v>
      </c>
      <c r="D48" s="2">
        <v>106</v>
      </c>
      <c r="E48" s="2">
        <v>36</v>
      </c>
      <c r="F48" s="2">
        <v>37</v>
      </c>
      <c r="G48" s="2">
        <v>37</v>
      </c>
      <c r="H48" s="2">
        <v>37</v>
      </c>
      <c r="I48" s="2">
        <v>78</v>
      </c>
      <c r="J48" s="3">
        <f t="shared" si="1"/>
        <v>455</v>
      </c>
      <c r="N48" s="5">
        <v>24</v>
      </c>
      <c r="O48" s="2">
        <v>38</v>
      </c>
      <c r="P48" s="2">
        <v>30</v>
      </c>
      <c r="Q48" s="2">
        <v>29</v>
      </c>
      <c r="R48" s="2">
        <v>52</v>
      </c>
      <c r="S48" s="2">
        <v>23</v>
      </c>
      <c r="T48" s="2">
        <v>52</v>
      </c>
      <c r="U48" s="2">
        <v>27</v>
      </c>
      <c r="V48" s="3">
        <f t="shared" si="10"/>
        <v>251</v>
      </c>
      <c r="Y48" s="1">
        <v>24</v>
      </c>
      <c r="Z48" s="3">
        <f t="shared" si="3"/>
        <v>5830</v>
      </c>
      <c r="AA48" s="3">
        <f t="shared" si="4"/>
        <v>5860</v>
      </c>
      <c r="AB48" s="3">
        <f t="shared" si="5"/>
        <v>5889</v>
      </c>
      <c r="AC48" s="3">
        <f t="shared" si="6"/>
        <v>5965</v>
      </c>
      <c r="AD48" s="3">
        <f t="shared" si="7"/>
        <v>5988</v>
      </c>
      <c r="AE48" s="3">
        <f t="shared" si="8"/>
        <v>6043</v>
      </c>
      <c r="AF48" s="3">
        <f t="shared" si="9"/>
        <v>6070</v>
      </c>
      <c r="AG48" s="3">
        <f t="shared" si="2"/>
        <v>41645</v>
      </c>
    </row>
    <row r="49" spans="1:33" x14ac:dyDescent="0.35">
      <c r="A49" s="9">
        <v>46</v>
      </c>
      <c r="B49" s="11" t="s">
        <v>55</v>
      </c>
      <c r="C49" s="2">
        <v>219</v>
      </c>
      <c r="D49" s="2">
        <v>204</v>
      </c>
      <c r="E49" s="2">
        <v>284</v>
      </c>
      <c r="F49" s="2">
        <v>134</v>
      </c>
      <c r="G49" s="2">
        <v>56</v>
      </c>
      <c r="H49" s="2">
        <v>134</v>
      </c>
      <c r="I49" s="2">
        <v>65</v>
      </c>
      <c r="J49" s="3">
        <f t="shared" si="1"/>
        <v>1096</v>
      </c>
      <c r="N49" s="5">
        <v>15</v>
      </c>
      <c r="O49" s="2">
        <v>47</v>
      </c>
      <c r="P49" s="2">
        <v>32</v>
      </c>
      <c r="Q49" s="2">
        <v>17</v>
      </c>
      <c r="R49" s="2">
        <v>38</v>
      </c>
      <c r="S49" s="2">
        <v>34</v>
      </c>
      <c r="T49" s="2">
        <v>38</v>
      </c>
      <c r="U49" s="2">
        <v>42</v>
      </c>
      <c r="V49" s="3">
        <f t="shared" si="10"/>
        <v>248</v>
      </c>
      <c r="Y49" s="1">
        <v>15</v>
      </c>
      <c r="Z49" s="3">
        <f t="shared" si="3"/>
        <v>5877</v>
      </c>
      <c r="AA49" s="3">
        <f t="shared" si="4"/>
        <v>5909</v>
      </c>
      <c r="AB49" s="3">
        <f t="shared" si="5"/>
        <v>5926</v>
      </c>
      <c r="AC49" s="3">
        <f t="shared" si="6"/>
        <v>6003</v>
      </c>
      <c r="AD49" s="3">
        <f t="shared" si="7"/>
        <v>6037</v>
      </c>
      <c r="AE49" s="3">
        <f t="shared" si="8"/>
        <v>6081</v>
      </c>
      <c r="AF49" s="3">
        <f t="shared" si="9"/>
        <v>6123</v>
      </c>
      <c r="AG49" s="3">
        <f t="shared" si="2"/>
        <v>41956</v>
      </c>
    </row>
    <row r="50" spans="1:33" x14ac:dyDescent="0.35">
      <c r="A50" s="9">
        <v>47</v>
      </c>
      <c r="B50" s="11" t="s">
        <v>56</v>
      </c>
      <c r="C50" s="2">
        <v>39</v>
      </c>
      <c r="D50" s="2">
        <v>23</v>
      </c>
      <c r="E50" s="2">
        <v>31</v>
      </c>
      <c r="F50" s="2">
        <v>41</v>
      </c>
      <c r="G50" s="2">
        <v>11</v>
      </c>
      <c r="H50" s="2">
        <v>41</v>
      </c>
      <c r="I50" s="2">
        <v>26</v>
      </c>
      <c r="J50" s="3">
        <f t="shared" si="1"/>
        <v>212</v>
      </c>
      <c r="N50" s="5">
        <v>14</v>
      </c>
      <c r="O50" s="2">
        <v>44</v>
      </c>
      <c r="P50" s="2">
        <v>36</v>
      </c>
      <c r="Q50" s="2">
        <v>42</v>
      </c>
      <c r="R50" s="2">
        <v>30</v>
      </c>
      <c r="S50" s="2">
        <v>23</v>
      </c>
      <c r="T50" s="2">
        <v>30</v>
      </c>
      <c r="U50" s="2">
        <v>27</v>
      </c>
      <c r="V50" s="3">
        <f t="shared" si="10"/>
        <v>232</v>
      </c>
      <c r="Y50" s="1">
        <v>14</v>
      </c>
      <c r="Z50" s="3">
        <f t="shared" si="3"/>
        <v>5921</v>
      </c>
      <c r="AA50" s="3">
        <f t="shared" si="4"/>
        <v>5957</v>
      </c>
      <c r="AB50" s="3">
        <f t="shared" si="5"/>
        <v>5999</v>
      </c>
      <c r="AC50" s="3">
        <f t="shared" si="6"/>
        <v>6033</v>
      </c>
      <c r="AD50" s="3">
        <f t="shared" si="7"/>
        <v>6060</v>
      </c>
      <c r="AE50" s="3">
        <f t="shared" si="8"/>
        <v>6111</v>
      </c>
      <c r="AF50" s="3">
        <f t="shared" si="9"/>
        <v>6150</v>
      </c>
      <c r="AG50" s="3">
        <f t="shared" si="2"/>
        <v>42231</v>
      </c>
    </row>
    <row r="51" spans="1:33" x14ac:dyDescent="0.35">
      <c r="A51" s="9">
        <v>48</v>
      </c>
      <c r="B51" s="11" t="s">
        <v>57</v>
      </c>
      <c r="C51" s="2">
        <v>59</v>
      </c>
      <c r="D51" s="2">
        <v>57</v>
      </c>
      <c r="E51" s="2">
        <v>70</v>
      </c>
      <c r="F51" s="2">
        <v>45</v>
      </c>
      <c r="G51" s="2">
        <v>50</v>
      </c>
      <c r="H51" s="2">
        <v>45</v>
      </c>
      <c r="I51" s="2">
        <v>33</v>
      </c>
      <c r="J51" s="3">
        <f t="shared" si="1"/>
        <v>359</v>
      </c>
      <c r="N51" s="5">
        <v>11</v>
      </c>
      <c r="O51" s="2">
        <v>38</v>
      </c>
      <c r="P51" s="2">
        <v>36</v>
      </c>
      <c r="Q51" s="2">
        <v>18</v>
      </c>
      <c r="R51" s="2">
        <v>37</v>
      </c>
      <c r="S51" s="2">
        <v>23</v>
      </c>
      <c r="T51" s="2">
        <v>37</v>
      </c>
      <c r="U51" s="2">
        <v>40</v>
      </c>
      <c r="V51" s="3">
        <f t="shared" si="10"/>
        <v>229</v>
      </c>
      <c r="Y51" s="1">
        <v>11</v>
      </c>
      <c r="Z51" s="3">
        <f t="shared" si="3"/>
        <v>5959</v>
      </c>
      <c r="AA51" s="3">
        <f t="shared" si="4"/>
        <v>5995</v>
      </c>
      <c r="AB51" s="3">
        <f t="shared" si="5"/>
        <v>6017</v>
      </c>
      <c r="AC51" s="3">
        <f t="shared" si="6"/>
        <v>6070</v>
      </c>
      <c r="AD51" s="3">
        <f t="shared" si="7"/>
        <v>6093</v>
      </c>
      <c r="AE51" s="3">
        <f t="shared" si="8"/>
        <v>6148</v>
      </c>
      <c r="AF51" s="3">
        <f t="shared" si="9"/>
        <v>6190</v>
      </c>
      <c r="AG51" s="3">
        <f t="shared" si="2"/>
        <v>42472</v>
      </c>
    </row>
    <row r="52" spans="1:33" x14ac:dyDescent="0.35">
      <c r="A52" s="9">
        <v>49</v>
      </c>
      <c r="B52" s="11" t="s">
        <v>58</v>
      </c>
      <c r="C52" s="2">
        <v>124</v>
      </c>
      <c r="D52" s="2">
        <v>138</v>
      </c>
      <c r="E52" s="2">
        <v>101</v>
      </c>
      <c r="F52" s="2">
        <v>45</v>
      </c>
      <c r="G52" s="2">
        <v>85</v>
      </c>
      <c r="H52" s="2">
        <v>45</v>
      </c>
      <c r="I52" s="2">
        <v>107</v>
      </c>
      <c r="J52" s="3">
        <f t="shared" si="1"/>
        <v>645</v>
      </c>
      <c r="N52" s="5">
        <v>47</v>
      </c>
      <c r="O52" s="2">
        <v>39</v>
      </c>
      <c r="P52" s="2">
        <v>23</v>
      </c>
      <c r="Q52" s="2">
        <v>31</v>
      </c>
      <c r="R52" s="2">
        <v>41</v>
      </c>
      <c r="S52" s="2">
        <v>11</v>
      </c>
      <c r="T52" s="2">
        <v>41</v>
      </c>
      <c r="U52" s="2">
        <v>26</v>
      </c>
      <c r="V52" s="3">
        <f t="shared" si="10"/>
        <v>212</v>
      </c>
      <c r="Y52" s="1">
        <v>47</v>
      </c>
      <c r="Z52" s="3">
        <f t="shared" si="3"/>
        <v>5998</v>
      </c>
      <c r="AA52" s="3">
        <f t="shared" si="4"/>
        <v>6021</v>
      </c>
      <c r="AB52" s="3">
        <f t="shared" si="5"/>
        <v>6052</v>
      </c>
      <c r="AC52" s="3">
        <f t="shared" si="6"/>
        <v>6111</v>
      </c>
      <c r="AD52" s="3">
        <f t="shared" si="7"/>
        <v>6122</v>
      </c>
      <c r="AE52" s="3">
        <f t="shared" si="8"/>
        <v>6189</v>
      </c>
      <c r="AF52" s="3">
        <f t="shared" si="9"/>
        <v>6216</v>
      </c>
      <c r="AG52" s="3">
        <f t="shared" si="2"/>
        <v>42709</v>
      </c>
    </row>
    <row r="53" spans="1:33" x14ac:dyDescent="0.35">
      <c r="A53" s="9">
        <v>50</v>
      </c>
      <c r="B53" s="11" t="s">
        <v>9</v>
      </c>
      <c r="C53" s="2">
        <v>27</v>
      </c>
      <c r="D53" s="2">
        <v>16</v>
      </c>
      <c r="E53" s="2">
        <v>23</v>
      </c>
      <c r="F53" s="2">
        <v>34</v>
      </c>
      <c r="G53" s="2">
        <v>10</v>
      </c>
      <c r="H53" s="2">
        <v>34</v>
      </c>
      <c r="I53" s="2">
        <v>17</v>
      </c>
      <c r="J53" s="3">
        <f t="shared" si="1"/>
        <v>161</v>
      </c>
      <c r="N53" s="5">
        <v>42</v>
      </c>
      <c r="O53" s="2">
        <v>35</v>
      </c>
      <c r="P53" s="2">
        <v>28</v>
      </c>
      <c r="Q53" s="2">
        <v>27</v>
      </c>
      <c r="R53" s="2">
        <v>36</v>
      </c>
      <c r="S53" s="2">
        <v>22</v>
      </c>
      <c r="T53" s="2">
        <v>36</v>
      </c>
      <c r="U53" s="2">
        <v>26</v>
      </c>
      <c r="V53" s="3">
        <f t="shared" si="10"/>
        <v>210</v>
      </c>
      <c r="Y53" s="1">
        <v>42</v>
      </c>
      <c r="Z53" s="3">
        <f t="shared" si="3"/>
        <v>6033</v>
      </c>
      <c r="AA53" s="3">
        <f t="shared" si="4"/>
        <v>6061</v>
      </c>
      <c r="AB53" s="3">
        <f t="shared" si="5"/>
        <v>6088</v>
      </c>
      <c r="AC53" s="3">
        <f t="shared" si="6"/>
        <v>6147</v>
      </c>
      <c r="AD53" s="3">
        <f t="shared" si="7"/>
        <v>6169</v>
      </c>
      <c r="AE53" s="3">
        <f t="shared" si="8"/>
        <v>6225</v>
      </c>
      <c r="AF53" s="3">
        <f t="shared" si="9"/>
        <v>6251</v>
      </c>
      <c r="AG53" s="3">
        <f t="shared" si="2"/>
        <v>42974</v>
      </c>
    </row>
    <row r="54" spans="1:33" x14ac:dyDescent="0.35">
      <c r="A54" s="9">
        <v>51</v>
      </c>
      <c r="B54" s="11" t="s">
        <v>59</v>
      </c>
      <c r="C54" s="2">
        <v>67</v>
      </c>
      <c r="D54" s="2">
        <v>68</v>
      </c>
      <c r="E54" s="2">
        <v>43</v>
      </c>
      <c r="F54" s="2">
        <v>31</v>
      </c>
      <c r="G54" s="2">
        <v>41</v>
      </c>
      <c r="H54" s="2">
        <v>31</v>
      </c>
      <c r="I54" s="2">
        <v>34</v>
      </c>
      <c r="J54" s="3">
        <f t="shared" si="1"/>
        <v>315</v>
      </c>
      <c r="N54" s="5">
        <v>22</v>
      </c>
      <c r="O54" s="2">
        <v>33</v>
      </c>
      <c r="P54" s="2">
        <v>29</v>
      </c>
      <c r="Q54" s="2">
        <v>16</v>
      </c>
      <c r="R54" s="2">
        <v>37</v>
      </c>
      <c r="S54" s="2">
        <v>20</v>
      </c>
      <c r="T54" s="2">
        <v>37</v>
      </c>
      <c r="U54" s="2">
        <v>34</v>
      </c>
      <c r="V54" s="3">
        <f t="shared" si="10"/>
        <v>206</v>
      </c>
      <c r="Y54" s="1">
        <v>22</v>
      </c>
      <c r="Z54" s="3">
        <f t="shared" si="3"/>
        <v>6066</v>
      </c>
      <c r="AA54" s="3">
        <f t="shared" si="4"/>
        <v>6095</v>
      </c>
      <c r="AB54" s="3">
        <f t="shared" si="5"/>
        <v>6111</v>
      </c>
      <c r="AC54" s="3">
        <f t="shared" si="6"/>
        <v>6184</v>
      </c>
      <c r="AD54" s="3">
        <f t="shared" si="7"/>
        <v>6204</v>
      </c>
      <c r="AE54" s="3">
        <f t="shared" si="8"/>
        <v>6262</v>
      </c>
      <c r="AF54" s="3">
        <f t="shared" si="9"/>
        <v>6296</v>
      </c>
      <c r="AG54" s="3">
        <f t="shared" si="2"/>
        <v>43218</v>
      </c>
    </row>
    <row r="55" spans="1:33" x14ac:dyDescent="0.35">
      <c r="A55" s="9">
        <v>52</v>
      </c>
      <c r="B55" s="11" t="s">
        <v>60</v>
      </c>
      <c r="C55" s="2">
        <v>94</v>
      </c>
      <c r="D55" s="2">
        <v>45</v>
      </c>
      <c r="E55" s="2">
        <v>30</v>
      </c>
      <c r="F55" s="2">
        <v>46</v>
      </c>
      <c r="G55" s="2">
        <v>15</v>
      </c>
      <c r="H55" s="2">
        <v>46</v>
      </c>
      <c r="I55" s="2">
        <v>35</v>
      </c>
      <c r="J55" s="3">
        <f t="shared" si="1"/>
        <v>311</v>
      </c>
      <c r="N55" s="5">
        <v>32</v>
      </c>
      <c r="O55" s="2">
        <v>44</v>
      </c>
      <c r="P55" s="2">
        <v>30</v>
      </c>
      <c r="Q55" s="2">
        <v>36</v>
      </c>
      <c r="R55" s="2">
        <v>31</v>
      </c>
      <c r="S55" s="2">
        <v>15</v>
      </c>
      <c r="T55" s="2">
        <v>31</v>
      </c>
      <c r="U55" s="2">
        <v>15</v>
      </c>
      <c r="V55" s="3">
        <f t="shared" si="10"/>
        <v>202</v>
      </c>
      <c r="Y55" s="1">
        <v>32</v>
      </c>
      <c r="Z55" s="3">
        <f t="shared" si="3"/>
        <v>6110</v>
      </c>
      <c r="AA55" s="3">
        <f t="shared" si="4"/>
        <v>6140</v>
      </c>
      <c r="AB55" s="3">
        <f t="shared" si="5"/>
        <v>6176</v>
      </c>
      <c r="AC55" s="3">
        <f t="shared" si="6"/>
        <v>6215</v>
      </c>
      <c r="AD55" s="3">
        <f t="shared" si="7"/>
        <v>6230</v>
      </c>
      <c r="AE55" s="3">
        <f t="shared" si="8"/>
        <v>6293</v>
      </c>
      <c r="AF55" s="3">
        <f t="shared" si="9"/>
        <v>6311</v>
      </c>
      <c r="AG55" s="3">
        <f t="shared" si="2"/>
        <v>43475</v>
      </c>
    </row>
    <row r="56" spans="1:33" x14ac:dyDescent="0.35">
      <c r="A56" s="9">
        <v>53</v>
      </c>
      <c r="B56" s="11" t="s">
        <v>61</v>
      </c>
      <c r="C56" s="2">
        <v>130</v>
      </c>
      <c r="D56" s="2">
        <v>100</v>
      </c>
      <c r="E56" s="2">
        <v>98</v>
      </c>
      <c r="F56" s="2">
        <v>84</v>
      </c>
      <c r="G56" s="2">
        <v>52</v>
      </c>
      <c r="H56" s="2">
        <v>84</v>
      </c>
      <c r="I56" s="2">
        <v>99</v>
      </c>
      <c r="J56" s="3">
        <f t="shared" si="1"/>
        <v>647</v>
      </c>
      <c r="N56" s="5">
        <v>30</v>
      </c>
      <c r="O56" s="2">
        <v>47</v>
      </c>
      <c r="P56" s="2">
        <v>33</v>
      </c>
      <c r="Q56" s="2">
        <v>16</v>
      </c>
      <c r="R56" s="2">
        <v>24</v>
      </c>
      <c r="S56" s="2">
        <v>24</v>
      </c>
      <c r="T56" s="2">
        <v>24</v>
      </c>
      <c r="U56" s="2">
        <v>25</v>
      </c>
      <c r="V56" s="3">
        <f t="shared" si="10"/>
        <v>193</v>
      </c>
      <c r="Y56" s="1">
        <v>30</v>
      </c>
      <c r="Z56" s="3">
        <f t="shared" si="3"/>
        <v>6157</v>
      </c>
      <c r="AA56" s="3">
        <f t="shared" si="4"/>
        <v>6190</v>
      </c>
      <c r="AB56" s="3">
        <f t="shared" si="5"/>
        <v>6206</v>
      </c>
      <c r="AC56" s="3">
        <f t="shared" si="6"/>
        <v>6239</v>
      </c>
      <c r="AD56" s="3">
        <f t="shared" si="7"/>
        <v>6263</v>
      </c>
      <c r="AE56" s="3">
        <f t="shared" si="8"/>
        <v>6317</v>
      </c>
      <c r="AF56" s="3">
        <f t="shared" si="9"/>
        <v>6342</v>
      </c>
      <c r="AG56" s="3">
        <f t="shared" si="2"/>
        <v>43714</v>
      </c>
    </row>
    <row r="57" spans="1:33" x14ac:dyDescent="0.35">
      <c r="A57" s="9">
        <v>54</v>
      </c>
      <c r="B57" s="11" t="s">
        <v>62</v>
      </c>
      <c r="C57" s="2">
        <v>105</v>
      </c>
      <c r="D57" s="2">
        <v>94</v>
      </c>
      <c r="E57" s="2">
        <v>58</v>
      </c>
      <c r="F57" s="2">
        <v>42</v>
      </c>
      <c r="G57" s="2">
        <v>72</v>
      </c>
      <c r="H57" s="2">
        <v>42</v>
      </c>
      <c r="I57" s="2">
        <v>21</v>
      </c>
      <c r="J57" s="3">
        <f t="shared" si="1"/>
        <v>434</v>
      </c>
      <c r="N57" s="5">
        <v>25</v>
      </c>
      <c r="O57" s="2">
        <v>28</v>
      </c>
      <c r="P57" s="2">
        <v>24</v>
      </c>
      <c r="Q57" s="2">
        <v>29</v>
      </c>
      <c r="R57" s="2">
        <v>30</v>
      </c>
      <c r="S57" s="2">
        <v>18</v>
      </c>
      <c r="T57" s="2">
        <v>30</v>
      </c>
      <c r="U57" s="2">
        <v>19</v>
      </c>
      <c r="V57" s="3">
        <f t="shared" si="10"/>
        <v>178</v>
      </c>
      <c r="Y57" s="1">
        <v>25</v>
      </c>
      <c r="Z57" s="3">
        <f t="shared" si="3"/>
        <v>6185</v>
      </c>
      <c r="AA57" s="3">
        <f t="shared" si="4"/>
        <v>6214</v>
      </c>
      <c r="AB57" s="3">
        <f t="shared" si="5"/>
        <v>6243</v>
      </c>
      <c r="AC57" s="3">
        <f t="shared" si="6"/>
        <v>6273</v>
      </c>
      <c r="AD57" s="3">
        <f t="shared" si="7"/>
        <v>6291</v>
      </c>
      <c r="AE57" s="3">
        <f t="shared" si="8"/>
        <v>6347</v>
      </c>
      <c r="AF57" s="3">
        <f t="shared" si="9"/>
        <v>6366</v>
      </c>
      <c r="AG57" s="3">
        <f t="shared" si="2"/>
        <v>43919</v>
      </c>
    </row>
    <row r="58" spans="1:33" x14ac:dyDescent="0.35">
      <c r="A58" s="9">
        <v>55</v>
      </c>
      <c r="B58" s="11" t="s">
        <v>63</v>
      </c>
      <c r="C58" s="2">
        <v>60</v>
      </c>
      <c r="D58" s="2">
        <v>43</v>
      </c>
      <c r="E58" s="2">
        <v>47</v>
      </c>
      <c r="F58" s="2">
        <v>79</v>
      </c>
      <c r="G58" s="2">
        <v>35</v>
      </c>
      <c r="H58" s="2">
        <v>79</v>
      </c>
      <c r="I58" s="2">
        <v>30</v>
      </c>
      <c r="J58" s="3">
        <f t="shared" si="1"/>
        <v>373</v>
      </c>
      <c r="N58" s="5">
        <v>34</v>
      </c>
      <c r="O58" s="2">
        <v>37</v>
      </c>
      <c r="P58" s="2">
        <v>27</v>
      </c>
      <c r="Q58" s="2">
        <v>12</v>
      </c>
      <c r="R58" s="2">
        <v>24</v>
      </c>
      <c r="S58" s="2">
        <v>14</v>
      </c>
      <c r="T58" s="2">
        <v>24</v>
      </c>
      <c r="U58" s="2">
        <v>32</v>
      </c>
      <c r="V58" s="3">
        <f t="shared" si="10"/>
        <v>170</v>
      </c>
      <c r="Y58" s="1">
        <v>34</v>
      </c>
      <c r="Z58" s="3">
        <f t="shared" si="3"/>
        <v>6222</v>
      </c>
      <c r="AA58" s="3">
        <f t="shared" si="4"/>
        <v>6249</v>
      </c>
      <c r="AB58" s="3">
        <f t="shared" si="5"/>
        <v>6261</v>
      </c>
      <c r="AC58" s="3">
        <f t="shared" si="6"/>
        <v>6297</v>
      </c>
      <c r="AD58" s="3">
        <f t="shared" si="7"/>
        <v>6311</v>
      </c>
      <c r="AE58" s="3">
        <f t="shared" si="8"/>
        <v>6371</v>
      </c>
      <c r="AF58" s="3">
        <f t="shared" si="9"/>
        <v>6403</v>
      </c>
      <c r="AG58" s="3">
        <f t="shared" si="2"/>
        <v>44114</v>
      </c>
    </row>
    <row r="59" spans="1:33" x14ac:dyDescent="0.35">
      <c r="A59" s="9">
        <v>56</v>
      </c>
      <c r="B59" s="11" t="s">
        <v>64</v>
      </c>
      <c r="C59" s="2">
        <v>50</v>
      </c>
      <c r="D59" s="2">
        <v>38</v>
      </c>
      <c r="E59" s="2">
        <v>37</v>
      </c>
      <c r="F59" s="2">
        <v>52</v>
      </c>
      <c r="G59" s="2">
        <v>31</v>
      </c>
      <c r="H59" s="2">
        <v>52</v>
      </c>
      <c r="I59" s="2">
        <v>30</v>
      </c>
      <c r="J59" s="3">
        <f t="shared" si="1"/>
        <v>290</v>
      </c>
      <c r="N59" s="5">
        <v>57</v>
      </c>
      <c r="O59" s="2">
        <v>25</v>
      </c>
      <c r="P59" s="2">
        <v>21</v>
      </c>
      <c r="Q59" s="2">
        <v>26</v>
      </c>
      <c r="R59" s="2">
        <v>30</v>
      </c>
      <c r="S59" s="2">
        <v>17</v>
      </c>
      <c r="T59" s="2">
        <v>30</v>
      </c>
      <c r="U59" s="2">
        <v>18</v>
      </c>
      <c r="V59" s="3">
        <f t="shared" si="10"/>
        <v>167</v>
      </c>
      <c r="Y59" s="1">
        <v>57</v>
      </c>
      <c r="Z59" s="3">
        <f t="shared" si="3"/>
        <v>6247</v>
      </c>
      <c r="AA59" s="3">
        <f t="shared" si="4"/>
        <v>6270</v>
      </c>
      <c r="AB59" s="3">
        <f t="shared" si="5"/>
        <v>6296</v>
      </c>
      <c r="AC59" s="3">
        <f t="shared" si="6"/>
        <v>6327</v>
      </c>
      <c r="AD59" s="3">
        <f t="shared" si="7"/>
        <v>6344</v>
      </c>
      <c r="AE59" s="3">
        <f t="shared" si="8"/>
        <v>6401</v>
      </c>
      <c r="AF59" s="3">
        <f t="shared" si="9"/>
        <v>6421</v>
      </c>
      <c r="AG59" s="3">
        <f t="shared" si="2"/>
        <v>44306</v>
      </c>
    </row>
    <row r="60" spans="1:33" x14ac:dyDescent="0.35">
      <c r="A60" s="9">
        <v>57</v>
      </c>
      <c r="B60" s="11" t="s">
        <v>65</v>
      </c>
      <c r="C60" s="2">
        <v>25</v>
      </c>
      <c r="D60" s="2">
        <v>21</v>
      </c>
      <c r="E60" s="2">
        <v>26</v>
      </c>
      <c r="F60" s="2">
        <v>30</v>
      </c>
      <c r="G60" s="2">
        <v>17</v>
      </c>
      <c r="H60" s="2">
        <v>30</v>
      </c>
      <c r="I60" s="2">
        <v>18</v>
      </c>
      <c r="J60" s="3">
        <f t="shared" si="1"/>
        <v>167</v>
      </c>
      <c r="N60" s="5">
        <v>59</v>
      </c>
      <c r="O60" s="2">
        <v>33</v>
      </c>
      <c r="P60" s="2">
        <v>25</v>
      </c>
      <c r="Q60" s="2">
        <v>14</v>
      </c>
      <c r="R60" s="2">
        <v>24</v>
      </c>
      <c r="S60" s="2">
        <v>18</v>
      </c>
      <c r="T60" s="2">
        <v>24</v>
      </c>
      <c r="U60" s="2">
        <v>24</v>
      </c>
      <c r="V60" s="3">
        <f t="shared" si="10"/>
        <v>162</v>
      </c>
      <c r="Y60" s="1">
        <v>59</v>
      </c>
      <c r="Z60" s="3">
        <f t="shared" si="3"/>
        <v>6280</v>
      </c>
      <c r="AA60" s="3">
        <f t="shared" si="4"/>
        <v>6305</v>
      </c>
      <c r="AB60" s="3">
        <f t="shared" si="5"/>
        <v>6319</v>
      </c>
      <c r="AC60" s="3">
        <f t="shared" si="6"/>
        <v>6351</v>
      </c>
      <c r="AD60" s="3">
        <f t="shared" si="7"/>
        <v>6369</v>
      </c>
      <c r="AE60" s="3">
        <f t="shared" si="8"/>
        <v>6425</v>
      </c>
      <c r="AF60" s="3">
        <f t="shared" si="9"/>
        <v>6449</v>
      </c>
      <c r="AG60" s="3">
        <f t="shared" si="2"/>
        <v>44498</v>
      </c>
    </row>
    <row r="61" spans="1:33" x14ac:dyDescent="0.35">
      <c r="A61" s="9">
        <v>58</v>
      </c>
      <c r="B61" s="11" t="s">
        <v>66</v>
      </c>
      <c r="C61" s="2">
        <v>112</v>
      </c>
      <c r="D61" s="2">
        <v>51</v>
      </c>
      <c r="E61" s="2">
        <v>29</v>
      </c>
      <c r="F61" s="2">
        <v>92</v>
      </c>
      <c r="G61" s="2">
        <v>23</v>
      </c>
      <c r="H61" s="2">
        <v>92</v>
      </c>
      <c r="I61" s="2">
        <v>17</v>
      </c>
      <c r="J61" s="3">
        <f t="shared" si="1"/>
        <v>416</v>
      </c>
      <c r="N61" s="5">
        <v>50</v>
      </c>
      <c r="O61" s="2">
        <v>27</v>
      </c>
      <c r="P61" s="2">
        <v>16</v>
      </c>
      <c r="Q61" s="2">
        <v>23</v>
      </c>
      <c r="R61" s="2">
        <v>34</v>
      </c>
      <c r="S61" s="2">
        <v>10</v>
      </c>
      <c r="T61" s="2">
        <v>34</v>
      </c>
      <c r="U61" s="2">
        <v>17</v>
      </c>
      <c r="V61" s="3">
        <f t="shared" si="10"/>
        <v>161</v>
      </c>
      <c r="Y61" s="1">
        <v>50</v>
      </c>
      <c r="Z61" s="3">
        <f t="shared" si="3"/>
        <v>6307</v>
      </c>
      <c r="AA61" s="3">
        <f t="shared" si="4"/>
        <v>6323</v>
      </c>
      <c r="AB61" s="3">
        <f t="shared" si="5"/>
        <v>6346</v>
      </c>
      <c r="AC61" s="3">
        <f t="shared" si="6"/>
        <v>6385</v>
      </c>
      <c r="AD61" s="3">
        <f t="shared" si="7"/>
        <v>6395</v>
      </c>
      <c r="AE61" s="3">
        <f t="shared" si="8"/>
        <v>6459</v>
      </c>
      <c r="AF61" s="3">
        <f t="shared" si="9"/>
        <v>6476</v>
      </c>
      <c r="AG61" s="3">
        <f t="shared" si="2"/>
        <v>44691</v>
      </c>
    </row>
    <row r="62" spans="1:33" x14ac:dyDescent="0.35">
      <c r="A62" s="9">
        <v>59</v>
      </c>
      <c r="B62" s="11" t="s">
        <v>67</v>
      </c>
      <c r="C62" s="2">
        <v>33</v>
      </c>
      <c r="D62" s="2">
        <v>25</v>
      </c>
      <c r="E62" s="2">
        <v>14</v>
      </c>
      <c r="F62" s="2">
        <v>24</v>
      </c>
      <c r="G62" s="2">
        <v>18</v>
      </c>
      <c r="H62" s="2">
        <v>24</v>
      </c>
      <c r="I62" s="2">
        <v>24</v>
      </c>
      <c r="J62" s="3">
        <f t="shared" si="1"/>
        <v>162</v>
      </c>
      <c r="N62" s="5">
        <v>35</v>
      </c>
      <c r="O62" s="2">
        <v>27</v>
      </c>
      <c r="P62" s="2">
        <v>19</v>
      </c>
      <c r="Q62" s="2">
        <v>15</v>
      </c>
      <c r="R62" s="2">
        <v>23</v>
      </c>
      <c r="S62" s="2">
        <v>21</v>
      </c>
      <c r="T62" s="2">
        <v>23</v>
      </c>
      <c r="U62" s="2">
        <v>27</v>
      </c>
      <c r="V62" s="3">
        <f t="shared" si="10"/>
        <v>155</v>
      </c>
      <c r="Y62" s="1">
        <v>35</v>
      </c>
      <c r="Z62" s="3">
        <f t="shared" si="3"/>
        <v>6334</v>
      </c>
      <c r="AA62" s="3">
        <f t="shared" si="4"/>
        <v>6353</v>
      </c>
      <c r="AB62" s="3">
        <f t="shared" si="5"/>
        <v>6368</v>
      </c>
      <c r="AC62" s="3">
        <f t="shared" si="6"/>
        <v>6408</v>
      </c>
      <c r="AD62" s="3">
        <f t="shared" si="7"/>
        <v>6429</v>
      </c>
      <c r="AE62" s="3">
        <f t="shared" si="8"/>
        <v>6482</v>
      </c>
      <c r="AF62" s="3">
        <f t="shared" si="9"/>
        <v>6509</v>
      </c>
      <c r="AG62" s="3">
        <f t="shared" si="2"/>
        <v>44883</v>
      </c>
    </row>
    <row r="63" spans="1:33" x14ac:dyDescent="0.35">
      <c r="A63" s="9">
        <v>60</v>
      </c>
      <c r="B63" s="11" t="s">
        <v>68</v>
      </c>
      <c r="C63" s="2">
        <v>104</v>
      </c>
      <c r="D63" s="2">
        <v>70</v>
      </c>
      <c r="E63" s="2">
        <v>76</v>
      </c>
      <c r="F63" s="2">
        <v>56</v>
      </c>
      <c r="G63" s="2">
        <v>29</v>
      </c>
      <c r="H63" s="2">
        <v>56</v>
      </c>
      <c r="I63" s="2">
        <v>30</v>
      </c>
      <c r="J63" s="3">
        <f t="shared" si="1"/>
        <v>421</v>
      </c>
      <c r="N63" s="5">
        <v>43</v>
      </c>
      <c r="O63" s="2">
        <v>20</v>
      </c>
      <c r="P63" s="2">
        <v>17</v>
      </c>
      <c r="Q63" s="2">
        <v>16</v>
      </c>
      <c r="R63" s="2">
        <v>29</v>
      </c>
      <c r="S63" s="2">
        <v>19</v>
      </c>
      <c r="T63" s="2">
        <v>29</v>
      </c>
      <c r="U63" s="2">
        <v>25</v>
      </c>
      <c r="V63" s="3">
        <f t="shared" si="10"/>
        <v>155</v>
      </c>
      <c r="Y63" s="1">
        <v>43</v>
      </c>
      <c r="Z63" s="3">
        <f t="shared" si="3"/>
        <v>6354</v>
      </c>
      <c r="AA63" s="3">
        <f t="shared" si="4"/>
        <v>6371</v>
      </c>
      <c r="AB63" s="3">
        <f t="shared" si="5"/>
        <v>6387</v>
      </c>
      <c r="AC63" s="3">
        <f t="shared" si="6"/>
        <v>6437</v>
      </c>
      <c r="AD63" s="3">
        <f t="shared" si="7"/>
        <v>6456</v>
      </c>
      <c r="AE63" s="3">
        <f t="shared" si="8"/>
        <v>6511</v>
      </c>
      <c r="AF63" s="3">
        <f t="shared" si="9"/>
        <v>6536</v>
      </c>
      <c r="AG63" s="3">
        <f t="shared" si="2"/>
        <v>45052</v>
      </c>
    </row>
    <row r="64" spans="1:33" x14ac:dyDescent="0.35">
      <c r="A64" s="9">
        <v>61</v>
      </c>
      <c r="B64" s="11" t="s">
        <v>69</v>
      </c>
      <c r="C64" s="2">
        <v>222</v>
      </c>
      <c r="D64" s="2">
        <v>135</v>
      </c>
      <c r="E64" s="2">
        <v>171</v>
      </c>
      <c r="F64" s="2">
        <v>46</v>
      </c>
      <c r="G64" s="2">
        <v>36</v>
      </c>
      <c r="H64" s="2">
        <v>46</v>
      </c>
      <c r="I64" s="2">
        <v>54</v>
      </c>
      <c r="J64" s="3">
        <f t="shared" si="1"/>
        <v>710</v>
      </c>
      <c r="N64" s="5">
        <v>62</v>
      </c>
      <c r="O64" s="2">
        <v>32</v>
      </c>
      <c r="P64" s="2">
        <v>23</v>
      </c>
      <c r="Q64" s="2">
        <v>10</v>
      </c>
      <c r="R64" s="2">
        <v>24</v>
      </c>
      <c r="S64" s="2">
        <v>13</v>
      </c>
      <c r="T64" s="2">
        <v>24</v>
      </c>
      <c r="U64" s="2">
        <v>29</v>
      </c>
      <c r="V64" s="3">
        <f t="shared" si="10"/>
        <v>155</v>
      </c>
      <c r="Y64" s="1">
        <v>62</v>
      </c>
      <c r="Z64" s="3">
        <f t="shared" si="3"/>
        <v>6386</v>
      </c>
      <c r="AA64" s="3">
        <f t="shared" si="4"/>
        <v>6409</v>
      </c>
      <c r="AB64" s="3">
        <f t="shared" si="5"/>
        <v>6419</v>
      </c>
      <c r="AC64" s="3">
        <f t="shared" si="6"/>
        <v>6461</v>
      </c>
      <c r="AD64" s="3">
        <f t="shared" si="7"/>
        <v>6474</v>
      </c>
      <c r="AE64" s="3">
        <f t="shared" si="8"/>
        <v>6535</v>
      </c>
      <c r="AF64" s="3">
        <f t="shared" si="9"/>
        <v>6565</v>
      </c>
      <c r="AG64" s="3">
        <f t="shared" si="2"/>
        <v>45249</v>
      </c>
    </row>
    <row r="65" spans="1:33" x14ac:dyDescent="0.35">
      <c r="A65" s="9">
        <v>62</v>
      </c>
      <c r="B65" s="11" t="s">
        <v>70</v>
      </c>
      <c r="C65" s="2">
        <v>32</v>
      </c>
      <c r="D65" s="2">
        <v>23</v>
      </c>
      <c r="E65" s="2">
        <v>10</v>
      </c>
      <c r="F65" s="2">
        <v>24</v>
      </c>
      <c r="G65" s="2">
        <v>13</v>
      </c>
      <c r="H65" s="2">
        <v>24</v>
      </c>
      <c r="I65" s="2">
        <v>29</v>
      </c>
      <c r="J65" s="3">
        <f t="shared" si="1"/>
        <v>155</v>
      </c>
      <c r="N65" s="5">
        <v>23</v>
      </c>
      <c r="O65" s="2">
        <v>21</v>
      </c>
      <c r="P65" s="2">
        <v>18</v>
      </c>
      <c r="Q65" s="2">
        <v>22</v>
      </c>
      <c r="R65" s="2">
        <v>29</v>
      </c>
      <c r="S65" s="2">
        <v>12</v>
      </c>
      <c r="T65" s="2">
        <v>29</v>
      </c>
      <c r="U65" s="2">
        <v>20</v>
      </c>
      <c r="V65" s="3">
        <f t="shared" si="10"/>
        <v>151</v>
      </c>
      <c r="Y65" s="1">
        <v>23</v>
      </c>
      <c r="Z65" s="3">
        <f t="shared" si="3"/>
        <v>6407</v>
      </c>
      <c r="AA65" s="3">
        <f t="shared" si="4"/>
        <v>6427</v>
      </c>
      <c r="AB65" s="3">
        <f t="shared" si="5"/>
        <v>6449</v>
      </c>
      <c r="AC65" s="3">
        <f t="shared" si="6"/>
        <v>6490</v>
      </c>
      <c r="AD65" s="3">
        <f t="shared" si="7"/>
        <v>6502</v>
      </c>
      <c r="AE65" s="3">
        <f t="shared" si="8"/>
        <v>6564</v>
      </c>
      <c r="AF65" s="3">
        <f t="shared" si="9"/>
        <v>6585</v>
      </c>
      <c r="AG65" s="3">
        <f t="shared" si="2"/>
        <v>45424</v>
      </c>
    </row>
    <row r="66" spans="1:33" x14ac:dyDescent="0.35">
      <c r="A66" s="9">
        <v>63</v>
      </c>
      <c r="B66" s="11" t="s">
        <v>71</v>
      </c>
      <c r="C66" s="2">
        <v>134</v>
      </c>
      <c r="D66" s="2">
        <v>120</v>
      </c>
      <c r="E66" s="2">
        <v>172</v>
      </c>
      <c r="F66" s="2">
        <v>83</v>
      </c>
      <c r="G66" s="2">
        <v>38</v>
      </c>
      <c r="H66" s="2">
        <v>83</v>
      </c>
      <c r="I66" s="2">
        <v>44</v>
      </c>
      <c r="J66" s="3">
        <f t="shared" si="1"/>
        <v>674</v>
      </c>
      <c r="N66" s="5">
        <v>27</v>
      </c>
      <c r="O66" s="2">
        <v>18</v>
      </c>
      <c r="P66" s="2">
        <v>13</v>
      </c>
      <c r="Q66" s="2">
        <v>17</v>
      </c>
      <c r="R66" s="2">
        <v>34</v>
      </c>
      <c r="S66" s="2">
        <v>12</v>
      </c>
      <c r="T66" s="2">
        <v>34</v>
      </c>
      <c r="U66" s="2">
        <v>20</v>
      </c>
      <c r="V66" s="3">
        <f t="shared" si="10"/>
        <v>148</v>
      </c>
      <c r="Y66" s="1">
        <v>27</v>
      </c>
      <c r="Z66" s="3">
        <f t="shared" si="3"/>
        <v>6425</v>
      </c>
      <c r="AA66" s="3">
        <f t="shared" si="4"/>
        <v>6440</v>
      </c>
      <c r="AB66" s="3">
        <f t="shared" si="5"/>
        <v>6466</v>
      </c>
      <c r="AC66" s="3">
        <f t="shared" si="6"/>
        <v>6524</v>
      </c>
      <c r="AD66" s="3">
        <f t="shared" si="7"/>
        <v>6536</v>
      </c>
      <c r="AE66" s="3">
        <f t="shared" si="8"/>
        <v>6598</v>
      </c>
      <c r="AF66" s="3">
        <f t="shared" si="9"/>
        <v>6618</v>
      </c>
      <c r="AG66" s="3">
        <f t="shared" si="2"/>
        <v>45607</v>
      </c>
    </row>
    <row r="67" spans="1:33" x14ac:dyDescent="0.35">
      <c r="A67" s="9">
        <v>64</v>
      </c>
      <c r="B67" s="11" t="s">
        <v>72</v>
      </c>
      <c r="C67" s="2">
        <v>83</v>
      </c>
      <c r="D67" s="2">
        <v>60</v>
      </c>
      <c r="E67" s="2">
        <v>74</v>
      </c>
      <c r="F67" s="2">
        <v>63</v>
      </c>
      <c r="G67" s="2">
        <v>12</v>
      </c>
      <c r="H67" s="2">
        <v>63</v>
      </c>
      <c r="I67" s="2">
        <v>38</v>
      </c>
      <c r="J67" s="3">
        <f t="shared" si="1"/>
        <v>393</v>
      </c>
      <c r="N67" s="5">
        <v>26</v>
      </c>
      <c r="O67" s="2">
        <v>16</v>
      </c>
      <c r="P67" s="2">
        <v>14</v>
      </c>
      <c r="Q67" s="2">
        <v>15</v>
      </c>
      <c r="R67" s="2">
        <v>29</v>
      </c>
      <c r="S67" s="2">
        <v>16</v>
      </c>
      <c r="T67" s="2">
        <v>29</v>
      </c>
      <c r="U67" s="2">
        <v>23</v>
      </c>
      <c r="V67" s="3">
        <f t="shared" si="10"/>
        <v>142</v>
      </c>
      <c r="Y67" s="1">
        <v>26</v>
      </c>
      <c r="Z67" s="3">
        <f t="shared" si="3"/>
        <v>6441</v>
      </c>
      <c r="AA67" s="3">
        <f t="shared" si="4"/>
        <v>6455</v>
      </c>
      <c r="AB67" s="3">
        <f t="shared" si="5"/>
        <v>6481</v>
      </c>
      <c r="AC67" s="3">
        <f t="shared" si="6"/>
        <v>6553</v>
      </c>
      <c r="AD67" s="3">
        <f t="shared" si="7"/>
        <v>6569</v>
      </c>
      <c r="AE67" s="3">
        <f t="shared" si="8"/>
        <v>6627</v>
      </c>
      <c r="AF67" s="3">
        <f t="shared" si="9"/>
        <v>6650</v>
      </c>
      <c r="AG67" s="3">
        <f t="shared" si="2"/>
        <v>45776</v>
      </c>
    </row>
    <row r="68" spans="1:33" x14ac:dyDescent="0.35">
      <c r="A68" s="9">
        <v>65</v>
      </c>
      <c r="B68" s="11" t="s">
        <v>73</v>
      </c>
      <c r="C68" s="2">
        <v>74</v>
      </c>
      <c r="D68" s="2">
        <v>73</v>
      </c>
      <c r="E68" s="2">
        <v>89</v>
      </c>
      <c r="F68" s="2">
        <v>45</v>
      </c>
      <c r="G68" s="2">
        <v>65</v>
      </c>
      <c r="H68" s="2">
        <v>45</v>
      </c>
      <c r="I68" s="2">
        <v>39</v>
      </c>
      <c r="J68" s="3">
        <f t="shared" si="1"/>
        <v>430</v>
      </c>
      <c r="N68" s="5">
        <v>10</v>
      </c>
      <c r="O68" s="2">
        <v>20</v>
      </c>
      <c r="P68" s="2">
        <v>16</v>
      </c>
      <c r="Q68" s="2">
        <v>18</v>
      </c>
      <c r="R68" s="2">
        <v>29</v>
      </c>
      <c r="S68" s="2">
        <v>10</v>
      </c>
      <c r="T68" s="2">
        <v>29</v>
      </c>
      <c r="U68" s="2">
        <v>17</v>
      </c>
      <c r="V68" s="3">
        <f t="shared" ref="V68:V70" si="11">SUM(O68:U68)</f>
        <v>139</v>
      </c>
      <c r="Y68" s="1">
        <v>10</v>
      </c>
      <c r="Z68" s="3">
        <f t="shared" si="3"/>
        <v>6461</v>
      </c>
      <c r="AA68" s="3">
        <f t="shared" si="4"/>
        <v>6477</v>
      </c>
      <c r="AB68" s="3">
        <f t="shared" si="5"/>
        <v>6499</v>
      </c>
      <c r="AC68" s="3">
        <f t="shared" si="6"/>
        <v>6582</v>
      </c>
      <c r="AD68" s="3">
        <f t="shared" si="7"/>
        <v>6592</v>
      </c>
      <c r="AE68" s="3">
        <f t="shared" si="8"/>
        <v>6656</v>
      </c>
      <c r="AF68" s="3">
        <f t="shared" si="9"/>
        <v>6673</v>
      </c>
      <c r="AG68" s="3">
        <f t="shared" si="2"/>
        <v>45940</v>
      </c>
    </row>
    <row r="69" spans="1:33" x14ac:dyDescent="0.35">
      <c r="A69" s="9">
        <v>66</v>
      </c>
      <c r="B69" s="11" t="s">
        <v>74</v>
      </c>
      <c r="C69" s="2">
        <v>198</v>
      </c>
      <c r="D69" s="2">
        <v>108</v>
      </c>
      <c r="E69" s="2">
        <v>154</v>
      </c>
      <c r="F69" s="2">
        <v>61</v>
      </c>
      <c r="G69" s="2">
        <v>22</v>
      </c>
      <c r="H69" s="2">
        <v>61</v>
      </c>
      <c r="I69" s="2">
        <v>114</v>
      </c>
      <c r="J69" s="3">
        <f t="shared" ref="J69:J70" si="12">SUM(C69:I69)</f>
        <v>718</v>
      </c>
      <c r="N69" s="5">
        <v>16</v>
      </c>
      <c r="O69" s="2">
        <v>26</v>
      </c>
      <c r="P69" s="2">
        <v>16</v>
      </c>
      <c r="Q69" s="2">
        <v>16</v>
      </c>
      <c r="R69" s="2">
        <v>29</v>
      </c>
      <c r="S69" s="2">
        <v>8</v>
      </c>
      <c r="T69" s="2">
        <v>29</v>
      </c>
      <c r="U69" s="2">
        <v>14</v>
      </c>
      <c r="V69" s="3">
        <f t="shared" si="11"/>
        <v>138</v>
      </c>
      <c r="Y69" s="1">
        <v>16</v>
      </c>
      <c r="Z69" s="3">
        <f t="shared" si="3"/>
        <v>6487</v>
      </c>
      <c r="AA69" s="3">
        <f t="shared" si="4"/>
        <v>6503</v>
      </c>
      <c r="AB69" s="3">
        <f t="shared" si="5"/>
        <v>6519</v>
      </c>
      <c r="AC69" s="3">
        <f t="shared" si="6"/>
        <v>6611</v>
      </c>
      <c r="AD69" s="3">
        <f t="shared" si="7"/>
        <v>6619</v>
      </c>
      <c r="AE69" s="3">
        <f t="shared" si="8"/>
        <v>6685</v>
      </c>
      <c r="AF69" s="3">
        <f t="shared" si="9"/>
        <v>6699</v>
      </c>
      <c r="AG69" s="3">
        <f t="shared" ref="AG69:AG70" si="13">SUM(Z69:AF69)</f>
        <v>46123</v>
      </c>
    </row>
    <row r="70" spans="1:33" x14ac:dyDescent="0.35">
      <c r="A70" s="9">
        <v>67</v>
      </c>
      <c r="B70" s="11" t="s">
        <v>10</v>
      </c>
      <c r="C70" s="2">
        <v>93</v>
      </c>
      <c r="D70" s="2">
        <v>68</v>
      </c>
      <c r="E70" s="2">
        <v>35</v>
      </c>
      <c r="F70" s="2">
        <v>33</v>
      </c>
      <c r="G70" s="2">
        <v>30</v>
      </c>
      <c r="H70" s="2">
        <v>33</v>
      </c>
      <c r="I70" s="2">
        <v>35</v>
      </c>
      <c r="J70" s="3">
        <f t="shared" si="12"/>
        <v>327</v>
      </c>
      <c r="N70" s="5">
        <v>28</v>
      </c>
      <c r="O70" s="2">
        <v>29</v>
      </c>
      <c r="P70" s="2">
        <v>12</v>
      </c>
      <c r="Q70" s="2">
        <v>13</v>
      </c>
      <c r="R70" s="2">
        <v>22</v>
      </c>
      <c r="S70" s="2">
        <v>12</v>
      </c>
      <c r="T70" s="2">
        <v>22</v>
      </c>
      <c r="U70" s="2">
        <v>9</v>
      </c>
      <c r="V70" s="3">
        <f t="shared" si="11"/>
        <v>119</v>
      </c>
      <c r="Y70" s="1">
        <v>28</v>
      </c>
      <c r="Z70" s="3">
        <f t="shared" si="3"/>
        <v>6516</v>
      </c>
      <c r="AA70" s="3">
        <f t="shared" si="4"/>
        <v>6528</v>
      </c>
      <c r="AB70" s="3">
        <f t="shared" si="5"/>
        <v>6541</v>
      </c>
      <c r="AC70" s="3">
        <f t="shared" si="6"/>
        <v>6633</v>
      </c>
      <c r="AD70" s="3">
        <f t="shared" si="7"/>
        <v>6645</v>
      </c>
      <c r="AE70" s="3">
        <f t="shared" si="8"/>
        <v>6707</v>
      </c>
      <c r="AF70" s="3">
        <f>_xlfn.IFNA(MAX(AE70,AF69)+VLOOKUP($Y70,$A$4:$I$70,9),AF69)</f>
        <v>6716</v>
      </c>
      <c r="AG70" s="3">
        <f t="shared" si="13"/>
        <v>46286</v>
      </c>
    </row>
    <row r="71" spans="1:33" x14ac:dyDescent="0.35">
      <c r="J71" s="3">
        <f>SUM(J4:J70)</f>
        <v>28477</v>
      </c>
      <c r="AF71" s="14" t="s">
        <v>80</v>
      </c>
      <c r="AG71" s="14">
        <f>AF70</f>
        <v>6716</v>
      </c>
    </row>
    <row r="72" spans="1:33" x14ac:dyDescent="0.35">
      <c r="AF72" s="14" t="s">
        <v>76</v>
      </c>
      <c r="AG72" s="14">
        <v>6716</v>
      </c>
    </row>
    <row r="73" spans="1:33" x14ac:dyDescent="0.35">
      <c r="W73" s="3">
        <v>6716</v>
      </c>
    </row>
    <row r="74" spans="1:33" x14ac:dyDescent="0.35">
      <c r="W74" s="3">
        <v>6616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H">
                <anchor moveWithCells="1" sizeWithCells="1">
                  <from>
                    <xdr:col>11</xdr:col>
                    <xdr:colOff>6350</xdr:colOff>
                    <xdr:row>7</xdr:row>
                    <xdr:rowOff>12700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C68"/>
  <sheetViews>
    <sheetView workbookViewId="0">
      <selection activeCell="C1" sqref="C1"/>
    </sheetView>
  </sheetViews>
  <sheetFormatPr defaultRowHeight="15.5" x14ac:dyDescent="0.35"/>
  <cols>
    <col min="2" max="3" width="6.5" customWidth="1"/>
  </cols>
  <sheetData>
    <row r="1" spans="1:3" x14ac:dyDescent="0.35">
      <c r="A1" t="s">
        <v>75</v>
      </c>
      <c r="B1" t="s">
        <v>76</v>
      </c>
      <c r="C1">
        <v>6616</v>
      </c>
    </row>
    <row r="2" spans="1:3" x14ac:dyDescent="0.35">
      <c r="A2" s="1">
        <v>65</v>
      </c>
    </row>
    <row r="3" spans="1:3" x14ac:dyDescent="0.35">
      <c r="A3" s="1">
        <v>33</v>
      </c>
    </row>
    <row r="4" spans="1:3" x14ac:dyDescent="0.35">
      <c r="A4" s="1">
        <v>19</v>
      </c>
    </row>
    <row r="5" spans="1:3" x14ac:dyDescent="0.35">
      <c r="A5" s="1">
        <v>39</v>
      </c>
    </row>
    <row r="6" spans="1:3" x14ac:dyDescent="0.35">
      <c r="A6" s="1">
        <v>4</v>
      </c>
    </row>
    <row r="7" spans="1:3" x14ac:dyDescent="0.35">
      <c r="A7" s="1">
        <v>21</v>
      </c>
    </row>
    <row r="8" spans="1:3" x14ac:dyDescent="0.35">
      <c r="A8" s="1">
        <v>63</v>
      </c>
    </row>
    <row r="9" spans="1:3" x14ac:dyDescent="0.35">
      <c r="A9" s="1">
        <v>64</v>
      </c>
    </row>
    <row r="10" spans="1:3" x14ac:dyDescent="0.35">
      <c r="A10" s="1">
        <v>23</v>
      </c>
    </row>
    <row r="11" spans="1:3" x14ac:dyDescent="0.35">
      <c r="A11" s="1">
        <v>20</v>
      </c>
    </row>
    <row r="12" spans="1:3" x14ac:dyDescent="0.35">
      <c r="A12" s="1">
        <v>41</v>
      </c>
    </row>
    <row r="13" spans="1:3" x14ac:dyDescent="0.35">
      <c r="A13" s="1">
        <v>18</v>
      </c>
    </row>
    <row r="14" spans="1:3" x14ac:dyDescent="0.35">
      <c r="A14" s="1">
        <v>31</v>
      </c>
    </row>
    <row r="15" spans="1:3" x14ac:dyDescent="0.35">
      <c r="A15" s="1">
        <v>24</v>
      </c>
    </row>
    <row r="16" spans="1:3" x14ac:dyDescent="0.35">
      <c r="A16" s="1">
        <v>26</v>
      </c>
    </row>
    <row r="17" spans="1:1" x14ac:dyDescent="0.35">
      <c r="A17" s="1">
        <v>42</v>
      </c>
    </row>
    <row r="18" spans="1:1" x14ac:dyDescent="0.35">
      <c r="A18" s="1">
        <v>11</v>
      </c>
    </row>
    <row r="19" spans="1:1" x14ac:dyDescent="0.35">
      <c r="A19" s="1">
        <v>7</v>
      </c>
    </row>
    <row r="20" spans="1:1" x14ac:dyDescent="0.35">
      <c r="A20" s="1">
        <v>29</v>
      </c>
    </row>
    <row r="21" spans="1:1" x14ac:dyDescent="0.35">
      <c r="A21" s="1">
        <v>12</v>
      </c>
    </row>
    <row r="22" spans="1:1" x14ac:dyDescent="0.35">
      <c r="A22" s="1">
        <v>13</v>
      </c>
    </row>
    <row r="23" spans="1:1" x14ac:dyDescent="0.35">
      <c r="A23" s="1">
        <v>36</v>
      </c>
    </row>
    <row r="24" spans="1:1" x14ac:dyDescent="0.35">
      <c r="A24" s="1">
        <v>9</v>
      </c>
    </row>
    <row r="25" spans="1:1" x14ac:dyDescent="0.35">
      <c r="A25" s="1">
        <v>60</v>
      </c>
    </row>
    <row r="26" spans="1:1" x14ac:dyDescent="0.35">
      <c r="A26" s="1">
        <v>17</v>
      </c>
    </row>
    <row r="27" spans="1:1" x14ac:dyDescent="0.35">
      <c r="A27" s="1">
        <v>48</v>
      </c>
    </row>
    <row r="28" spans="1:1" x14ac:dyDescent="0.35">
      <c r="A28" s="1">
        <v>46</v>
      </c>
    </row>
    <row r="29" spans="1:1" x14ac:dyDescent="0.35">
      <c r="A29" s="1">
        <v>8</v>
      </c>
    </row>
    <row r="30" spans="1:1" x14ac:dyDescent="0.35">
      <c r="A30" s="1">
        <v>38</v>
      </c>
    </row>
    <row r="31" spans="1:1" x14ac:dyDescent="0.35">
      <c r="A31" s="1">
        <v>66</v>
      </c>
    </row>
    <row r="32" spans="1:1" x14ac:dyDescent="0.35">
      <c r="A32" s="1">
        <v>5</v>
      </c>
    </row>
    <row r="33" spans="1:1" x14ac:dyDescent="0.35">
      <c r="A33" s="1">
        <v>22</v>
      </c>
    </row>
    <row r="34" spans="1:1" x14ac:dyDescent="0.35">
      <c r="A34" s="1">
        <v>49</v>
      </c>
    </row>
    <row r="35" spans="1:1" x14ac:dyDescent="0.35">
      <c r="A35" s="1">
        <v>56</v>
      </c>
    </row>
    <row r="36" spans="1:1" x14ac:dyDescent="0.35">
      <c r="A36" s="1">
        <v>44</v>
      </c>
    </row>
    <row r="37" spans="1:1" x14ac:dyDescent="0.35">
      <c r="A37" s="1">
        <v>57</v>
      </c>
    </row>
    <row r="38" spans="1:1" x14ac:dyDescent="0.35">
      <c r="A38" s="1">
        <v>10</v>
      </c>
    </row>
    <row r="39" spans="1:1" x14ac:dyDescent="0.35">
      <c r="A39" s="1">
        <v>55</v>
      </c>
    </row>
    <row r="40" spans="1:1" x14ac:dyDescent="0.35">
      <c r="A40" s="1">
        <v>25</v>
      </c>
    </row>
    <row r="41" spans="1:1" x14ac:dyDescent="0.35">
      <c r="A41" s="1">
        <v>40</v>
      </c>
    </row>
    <row r="42" spans="1:1" x14ac:dyDescent="0.35">
      <c r="A42" s="1">
        <v>6</v>
      </c>
    </row>
    <row r="43" spans="1:1" x14ac:dyDescent="0.35">
      <c r="A43" s="1">
        <v>58</v>
      </c>
    </row>
    <row r="44" spans="1:1" x14ac:dyDescent="0.35">
      <c r="A44" s="1">
        <v>67</v>
      </c>
    </row>
    <row r="45" spans="1:1" x14ac:dyDescent="0.35">
      <c r="A45" s="1">
        <v>43</v>
      </c>
    </row>
    <row r="46" spans="1:1" x14ac:dyDescent="0.35">
      <c r="A46" s="1">
        <v>53</v>
      </c>
    </row>
    <row r="47" spans="1:1" x14ac:dyDescent="0.35">
      <c r="A47" s="1">
        <v>3</v>
      </c>
    </row>
    <row r="48" spans="1:1" x14ac:dyDescent="0.35">
      <c r="A48" s="1">
        <v>61</v>
      </c>
    </row>
    <row r="49" spans="1:1" x14ac:dyDescent="0.35">
      <c r="A49" s="1">
        <v>37</v>
      </c>
    </row>
    <row r="50" spans="1:1" x14ac:dyDescent="0.35">
      <c r="A50" s="1">
        <v>51</v>
      </c>
    </row>
    <row r="51" spans="1:1" x14ac:dyDescent="0.35">
      <c r="A51" s="1">
        <v>54</v>
      </c>
    </row>
    <row r="52" spans="1:1" x14ac:dyDescent="0.35">
      <c r="A52" s="1">
        <v>27</v>
      </c>
    </row>
    <row r="53" spans="1:1" x14ac:dyDescent="0.35">
      <c r="A53" s="1">
        <v>45</v>
      </c>
    </row>
    <row r="54" spans="1:1" x14ac:dyDescent="0.35">
      <c r="A54" s="1">
        <v>50</v>
      </c>
    </row>
    <row r="55" spans="1:1" x14ac:dyDescent="0.35">
      <c r="A55" s="1">
        <v>2</v>
      </c>
    </row>
    <row r="56" spans="1:1" x14ac:dyDescent="0.35">
      <c r="A56" s="1">
        <v>52</v>
      </c>
    </row>
    <row r="57" spans="1:1" x14ac:dyDescent="0.35">
      <c r="A57" s="1">
        <v>15</v>
      </c>
    </row>
    <row r="58" spans="1:1" x14ac:dyDescent="0.35">
      <c r="A58" s="1">
        <v>1</v>
      </c>
    </row>
    <row r="59" spans="1:1" x14ac:dyDescent="0.35">
      <c r="A59" s="1">
        <v>47</v>
      </c>
    </row>
    <row r="60" spans="1:1" x14ac:dyDescent="0.35">
      <c r="A60" s="1">
        <v>14</v>
      </c>
    </row>
    <row r="61" spans="1:1" x14ac:dyDescent="0.35">
      <c r="A61" s="1">
        <v>32</v>
      </c>
    </row>
    <row r="62" spans="1:1" x14ac:dyDescent="0.35">
      <c r="A62" s="1">
        <v>35</v>
      </c>
    </row>
    <row r="63" spans="1:1" x14ac:dyDescent="0.35">
      <c r="A63" s="1">
        <v>30</v>
      </c>
    </row>
    <row r="64" spans="1:1" x14ac:dyDescent="0.35">
      <c r="A64" s="1">
        <v>59</v>
      </c>
    </row>
    <row r="65" spans="1:1" x14ac:dyDescent="0.35">
      <c r="A65" s="1">
        <v>34</v>
      </c>
    </row>
    <row r="66" spans="1:1" x14ac:dyDescent="0.35">
      <c r="A66" s="1">
        <v>62</v>
      </c>
    </row>
    <row r="67" spans="1:1" x14ac:dyDescent="0.35">
      <c r="A67" s="1">
        <v>16</v>
      </c>
    </row>
    <row r="68" spans="1:1" x14ac:dyDescent="0.35">
      <c r="A68" s="1">
        <v>28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"/>
  <sheetViews>
    <sheetView workbookViewId="0"/>
  </sheetViews>
  <sheetFormatPr defaultRowHeight="15.5" x14ac:dyDescent="0.35"/>
  <sheetData/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"/>
  <sheetViews>
    <sheetView workbookViewId="0"/>
  </sheetViews>
  <sheetFormatPr defaultRowHeight="15.5" x14ac:dyDescent="0.35"/>
  <sheetData/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"/>
  <sheetViews>
    <sheetView workbookViewId="0"/>
  </sheetViews>
  <sheetFormatPr defaultRowHeight="15.5" x14ac:dyDescent="0.35"/>
  <sheetData/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"/>
  <sheetViews>
    <sheetView workbookViewId="0"/>
  </sheetViews>
  <sheetFormatPr defaultRowHeight="15.5" x14ac:dyDescent="0.35"/>
  <sheetData/>
  <phoneticPr fontId="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"/>
  <sheetViews>
    <sheetView workbookViewId="0"/>
  </sheetViews>
  <sheetFormatPr defaultRowHeight="15.5" x14ac:dyDescent="0.3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Dane</vt:lpstr>
      <vt:lpstr>Najlepszy</vt:lpstr>
      <vt:lpstr>Arkusz4</vt:lpstr>
      <vt:lpstr>Arkusz5</vt:lpstr>
      <vt:lpstr>Arkusz6</vt:lpstr>
      <vt:lpstr>Arkusz7</vt:lpstr>
      <vt:lpstr>Arkusz8</vt:lpstr>
    </vt:vector>
  </TitlesOfParts>
  <Company>AGH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Stawowy Adam</dc:creator>
  <cp:lastModifiedBy>Justyna</cp:lastModifiedBy>
  <dcterms:created xsi:type="dcterms:W3CDTF">2000-05-22T21:49:05Z</dcterms:created>
  <dcterms:modified xsi:type="dcterms:W3CDTF">2020-01-20T09:17:25Z</dcterms:modified>
</cp:coreProperties>
</file>